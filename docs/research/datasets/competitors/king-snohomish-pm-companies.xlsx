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ependent Companies" sheetId="1" state="visible" r:id="rId3"/>
    <sheet name="Excluded - PE &amp; Institutional" sheetId="2" state="visible" r:id="rId4"/>
    <sheet name="Category Summary" sheetId="3" state="visible" r:id="rId5"/>
    <sheet name="Legen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<sst xmlns="http://schemas.openxmlformats.org/spreadsheetml/2006/main" count="838" uniqueCount="429">
  <si>
    <t xml:space="preserve">Company Name</t>
  </si>
  <si>
    <t xml:space="preserve">Status</t>
  </si>
  <si>
    <t xml:space="preserve">Ownership Type</t>
  </si>
  <si>
    <t xml:space="preserve">Year Founded</t>
  </si>
  <si>
    <t xml:space="preserve">Primary HQ City</t>
  </si>
  <si>
    <t xml:space="preserve">County</t>
  </si>
  <si>
    <t xml:space="preserve">Service Area (Counties)</t>
  </si>
  <si>
    <t xml:space="preserve">Sub-Region</t>
  </si>
  <si>
    <t xml:space="preserve">Property Types</t>
  </si>
  <si>
    <t xml:space="preserve">Targets Small Landlords</t>
  </si>
  <si>
    <t xml:space="preserve">Portfolio Size (Units)</t>
  </si>
  <si>
    <t xml:space="preserve">Principals / Owners</t>
  </si>
  <si>
    <t xml:space="preserve">Address</t>
  </si>
  <si>
    <t xml:space="preserve">Phone</t>
  </si>
  <si>
    <t xml:space="preserve">Website</t>
  </si>
  <si>
    <t xml:space="preserve">PM Software</t>
  </si>
  <si>
    <t xml:space="preserve">Tenant Portal</t>
  </si>
  <si>
    <t xml:space="preserve">Tenant Payment Methods</t>
  </si>
  <si>
    <t xml:space="preserve">Mgmt Fee %</t>
  </si>
  <si>
    <t xml:space="preserve">Leasing Fee</t>
  </si>
  <si>
    <t xml:space="preserve">Renewal Fee</t>
  </si>
  <si>
    <t xml:space="preserve">Setup Fee</t>
  </si>
  <si>
    <t xml:space="preserve">Maintenance Markup</t>
  </si>
  <si>
    <t xml:space="preserve">Application Fee</t>
  </si>
  <si>
    <t xml:space="preserve">Accepts Portable Screening</t>
  </si>
  <si>
    <t xml:space="preserve">Credit Min</t>
  </si>
  <si>
    <t xml:space="preserve">Income Ratio</t>
  </si>
  <si>
    <t xml:space="preserve">Associations</t>
  </si>
  <si>
    <t xml:space="preserve">Designations</t>
  </si>
  <si>
    <t xml:space="preserve">Yelp Rating</t>
  </si>
  <si>
    <t xml:space="preserve">Yelp Count</t>
  </si>
  <si>
    <t xml:space="preserve">BBB Rating</t>
  </si>
  <si>
    <t xml:space="preserve">Follow-up Flag</t>
  </si>
  <si>
    <t xml:space="preserve">Notes</t>
  </si>
  <si>
    <t xml:space="preserve">Bell-Anderson &amp; Associates</t>
  </si>
  <si>
    <t xml:space="preserve">Confirmed Independent</t>
  </si>
  <si>
    <t xml:space="preserve">Family-Owned</t>
  </si>
  <si>
    <t xml:space="preserve">Auburn</t>
  </si>
  <si>
    <t xml:space="preserve">King</t>
  </si>
  <si>
    <t xml:space="preserve">South King</t>
  </si>
  <si>
    <t xml:space="preserve">SFR, Condo, Townhome, Multifamily, Commercial, HOA</t>
  </si>
  <si>
    <t xml:space="preserve">Yes</t>
  </si>
  <si>
    <t xml:space="preserve">Vickie Gaskill, Carrie Snyder, Jennifer Corp</t>
  </si>
  <si>
    <t xml:space="preserve">4508 Auburn Way N Ste A-100, Auburn, WA 98002</t>
  </si>
  <si>
    <t xml:space="preserve">(253) 852-8195</t>
  </si>
  <si>
    <t xml:space="preserve">bell-anderson.net</t>
  </si>
  <si>
    <t xml:space="preserve">AppFolio (inferred); Rentvine for screening</t>
  </si>
  <si>
    <t xml:space="preserve">Branded portal</t>
  </si>
  <si>
    <t xml:space="preserve">ACH, eCheck, Credit/Debit Card</t>
  </si>
  <si>
    <t xml:space="preserve">No</t>
  </si>
  <si>
    <t xml:space="preserve">NARPM, IREM, WSCAI, Kent Chamber</t>
  </si>
  <si>
    <t xml:space="preserve">AMO, CRMC</t>
  </si>
  <si>
    <t xml:space="preserve">5 family members on staff</t>
  </si>
  <si>
    <t xml:space="preserve">SJA Property Management</t>
  </si>
  <si>
    <t xml:space="preserve">Founder-Owned</t>
  </si>
  <si>
    <t xml:space="preserve">Redmond</t>
  </si>
  <si>
    <t xml:space="preserve">Eastside</t>
  </si>
  <si>
    <t xml:space="preserve">SFR, Condo, Townhome, Small Multifamily</t>
  </si>
  <si>
    <t xml:space="preserve">Devin Easterlin (CEO), Derek Bunyard, Alanna Farrington</t>
  </si>
  <si>
    <t xml:space="preserve">16398 NE 85th St #200, Redmond, WA 98052</t>
  </si>
  <si>
    <t xml:space="preserve">(425) 658-1920</t>
  </si>
  <si>
    <t xml:space="preserve">propertymanagersseattle.com</t>
  </si>
  <si>
    <t xml:space="preserve">AppFolio</t>
  </si>
  <si>
    <t xml:space="preserve">AppFolio Online Portal</t>
  </si>
  <si>
    <t xml:space="preserve">ACH, eCheck, Credit/Debit, Apple Pay</t>
  </si>
  <si>
    <t xml:space="preserve">10%</t>
  </si>
  <si>
    <t xml:space="preserve">60% (min $1,850)</t>
  </si>
  <si>
    <t xml:space="preserve">25% (min $500)</t>
  </si>
  <si>
    <t xml:space="preserve">$385 SFR / $200 per unit MF</t>
  </si>
  <si>
    <t xml:space="preserve">3.0x</t>
  </si>
  <si>
    <t xml:space="preserve">NARPM, RHAWA</t>
  </si>
  <si>
    <t xml:space="preserve">A+</t>
  </si>
  <si>
    <t xml:space="preserve">Inc 5000 2016, 2017; PSBJ Hall of Fame 2019</t>
  </si>
  <si>
    <t xml:space="preserve">Real Property Associates (RPA)</t>
  </si>
  <si>
    <t xml:space="preserve">Seattle</t>
  </si>
  <si>
    <t xml:space="preserve">King, Snohomish</t>
  </si>
  <si>
    <t xml:space="preserve">Seattle, Eastside, Snohomish</t>
  </si>
  <si>
    <t xml:space="preserve">SFR, Small Multifamily</t>
  </si>
  <si>
    <t xml:space="preserve">Seattle / Everett / Bellevue / Edmonds offices</t>
  </si>
  <si>
    <t xml:space="preserve">(206) 523-0300</t>
  </si>
  <si>
    <t xml:space="preserve">rentseattle.com</t>
  </si>
  <si>
    <t xml:space="preserve">95% online rent payment adoption</t>
  </si>
  <si>
    <t xml:space="preserve">Brink Property Management</t>
  </si>
  <si>
    <t xml:space="preserve">Bellevue</t>
  </si>
  <si>
    <t xml:space="preserve">Eastside, South Snohomish</t>
  </si>
  <si>
    <t xml:space="preserve">SFR, Multifamily</t>
  </si>
  <si>
    <t xml:space="preserve">Dean Foggitt (President)</t>
  </si>
  <si>
    <t xml:space="preserve">12011 Bel-Red Rd #101, Bellevue, WA 98005</t>
  </si>
  <si>
    <t xml:space="preserve">(425) 458-4848</t>
  </si>
  <si>
    <t xml:space="preserve">AppFolio (inferred)</t>
  </si>
  <si>
    <t xml:space="preserve">ACH, eCheck, Card</t>
  </si>
  <si>
    <t xml:space="preserve">Annual revenue per D&amp;B ~$960K</t>
  </si>
  <si>
    <t xml:space="preserve">Gregory Property Management</t>
  </si>
  <si>
    <t xml:space="preserve">Bothell</t>
  </si>
  <si>
    <t xml:space="preserve">SFR</t>
  </si>
  <si>
    <t xml:space="preserve">Brad Gregory</t>
  </si>
  <si>
    <t xml:space="preserve">Bothell, WA</t>
  </si>
  <si>
    <t xml:space="preserve">Owner portal</t>
  </si>
  <si>
    <t xml:space="preserve">ACH, Card</t>
  </si>
  <si>
    <t xml:space="preserve">7% start</t>
  </si>
  <si>
    <t xml:space="preserve">No leasing fee until placed</t>
  </si>
  <si>
    <t xml:space="preserve">0% (transparent)</t>
  </si>
  <si>
    <t xml:space="preserve">30+ years; in-house maintenance; $1,500 pet damage guarantee</t>
  </si>
  <si>
    <t xml:space="preserve">AHC Property Management</t>
  </si>
  <si>
    <t xml:space="preserve">Family-Owned (Women-led)</t>
  </si>
  <si>
    <t xml:space="preserve">SFR, Condo</t>
  </si>
  <si>
    <t xml:space="preserve">Mary, Danielle, Stacey</t>
  </si>
  <si>
    <t xml:space="preserve">Redmond / Bellevue area</t>
  </si>
  <si>
    <t xml:space="preserve">Eastside Property Managers Association (original member)</t>
  </si>
  <si>
    <t xml:space="preserve">North Pacific Property Management</t>
  </si>
  <si>
    <t xml:space="preserve">Flag-Review</t>
  </si>
  <si>
    <t xml:space="preserve">Founder-Owned (large)</t>
  </si>
  <si>
    <t xml:space="preserve">Joshua Fant (Founder)</t>
  </si>
  <si>
    <t xml:space="preserve">2220 Queen Anne Ave N, Seattle, WA 98109</t>
  </si>
  <si>
    <t xml:space="preserve">(206) 781-0186</t>
  </si>
  <si>
    <t xml:space="preserve">Scale check: 160 brokers, 23 PMs</t>
  </si>
  <si>
    <t xml:space="preserve">PSBJ 100 Fastest Growing 6x</t>
  </si>
  <si>
    <t xml:space="preserve">Verraterra Property Management</t>
  </si>
  <si>
    <t xml:space="preserve">Unknown-Local</t>
  </si>
  <si>
    <t xml:space="preserve">Eastside, Snohomish, Seattle</t>
  </si>
  <si>
    <t xml:space="preserve">SFR, Multifamily, HOA, Condo</t>
  </si>
  <si>
    <t xml:space="preserve">Bellevue area</t>
  </si>
  <si>
    <t xml:space="preserve">15+ years; broad service area</t>
  </si>
  <si>
    <t xml:space="preserve">Seattle Rental Management</t>
  </si>
  <si>
    <t xml:space="preserve">Boutique</t>
  </si>
  <si>
    <t xml:space="preserve">Queen Anne, Seattle</t>
  </si>
  <si>
    <t xml:space="preserve">Eric, Tiffany, Channel, Tia, Rob</t>
  </si>
  <si>
    <t xml:space="preserve">The Joseph Group</t>
  </si>
  <si>
    <t xml:space="preserve">King + 5 more (six-county)</t>
  </si>
  <si>
    <t xml:space="preserve">Seattle, Capitol Hill, NE</t>
  </si>
  <si>
    <t xml:space="preserve">In-house construction + brokerage; Eviction Protection Plan</t>
  </si>
  <si>
    <t xml:space="preserve">Cascade Management US</t>
  </si>
  <si>
    <t xml:space="preserve">Capitol Hill, Seattle</t>
  </si>
  <si>
    <t xml:space="preserve">Multifamily</t>
  </si>
  <si>
    <t xml:space="preserve">Tammy Travers, Daniel Travers (MBA UW Foster)</t>
  </si>
  <si>
    <t xml:space="preserve">Zillow Community Pillar; distinct from Portland Cascade Mgmt Inc.</t>
  </si>
  <si>
    <t xml:space="preserve">Emerald Door Property Management</t>
  </si>
  <si>
    <t xml:space="preserve">Seattle, Eastside</t>
  </si>
  <si>
    <t xml:space="preserve">Ryan George Dosch (ARM)</t>
  </si>
  <si>
    <t xml:space="preserve">5608 17th Ave NW #429, Seattle</t>
  </si>
  <si>
    <t xml:space="preserve">ARM</t>
  </si>
  <si>
    <t xml:space="preserve">A+ (accredited 2022)</t>
  </si>
  <si>
    <t xml:space="preserve">Related to Emerald Heights PM at same address</t>
  </si>
  <si>
    <t xml:space="preserve">Full Service Property Management</t>
  </si>
  <si>
    <t xml:space="preserve">Local-Indep</t>
  </si>
  <si>
    <t xml:space="preserve">Multi-area</t>
  </si>
  <si>
    <t xml:space="preserve">Multi-area: Seattle, Edmonds, Lynnwood, Mukilteo, MI, Kent, Renton, Auburn, Federal Way, Snohomish</t>
  </si>
  <si>
    <t xml:space="preserve">2.5x (bank bal for 6mo leases)</t>
  </si>
  <si>
    <t xml:space="preserve">30+ years</t>
  </si>
  <si>
    <t xml:space="preserve">T-Square Properties</t>
  </si>
  <si>
    <t xml:space="preserve">Mill Creek</t>
  </si>
  <si>
    <t xml:space="preserve">Snohomish</t>
  </si>
  <si>
    <t xml:space="preserve">Mill Creek, North King, South Snoho</t>
  </si>
  <si>
    <t xml:space="preserve">SFR, Multifamily, Commercial</t>
  </si>
  <si>
    <t xml:space="preserve">15522 Main St, Mill Creek, WA</t>
  </si>
  <si>
    <t xml:space="preserve">NARPM, IREM, NWMLS, CBA</t>
  </si>
  <si>
    <t xml:space="preserve">24+ years</t>
  </si>
  <si>
    <t xml:space="preserve">WPI Real Estate</t>
  </si>
  <si>
    <t xml:space="preserve">9500 Roosevelt Way NE #100, Seattle</t>
  </si>
  <si>
    <t xml:space="preserve">AppFolio EFT autopay</t>
  </si>
  <si>
    <t xml:space="preserve">ACH (EFT autopay), Card</t>
  </si>
  <si>
    <t xml:space="preserve">Bilingual: Mandarin, Cantonese, Taiwanese, Spanish</t>
  </si>
  <si>
    <t xml:space="preserve">Ballard Realty</t>
  </si>
  <si>
    <t xml:space="preserve">Ballard, Seattle</t>
  </si>
  <si>
    <t xml:space="preserve">SFR, Condo, Townhome, Multifamily</t>
  </si>
  <si>
    <t xml:space="preserve">Third generation family</t>
  </si>
  <si>
    <t xml:space="preserve">Storefront face-to-face service</t>
  </si>
  <si>
    <t xml:space="preserve">Cornell &amp; Associates</t>
  </si>
  <si>
    <t xml:space="preserve">Family-Owned (large)</t>
  </si>
  <si>
    <t xml:space="preserve">Seattle (multi-neighborhood)</t>
  </si>
  <si>
    <t xml:space="preserve">Residential, Commercial</t>
  </si>
  <si>
    <t xml:space="preserve">J. Blake Cornell (Pres), James Cornell (Owner)</t>
  </si>
  <si>
    <t xml:space="preserve">2633 Eastlake Ave E #307, Seattle</t>
  </si>
  <si>
    <t xml:space="preserve">Scale check: 6,000 units (large for independent)</t>
  </si>
  <si>
    <t xml:space="preserve">Walls Property Management</t>
  </si>
  <si>
    <t xml:space="preserve">Ballard, Fremont, Capitol Hill</t>
  </si>
  <si>
    <t xml:space="preserve">5210 Russell Ave NW #100, Seattle</t>
  </si>
  <si>
    <t xml:space="preserve">Multifamily Seattle since 1960s</t>
  </si>
  <si>
    <t xml:space="preserve">Gallagher Properties</t>
  </si>
  <si>
    <t xml:space="preserve">SFR, Multifamily, HOA</t>
  </si>
  <si>
    <t xml:space="preserve">1521 NW 54th St, Seattle</t>
  </si>
  <si>
    <t xml:space="preserve">Buildium</t>
  </si>
  <si>
    <t xml:space="preserve">managebuilding.com</t>
  </si>
  <si>
    <t xml:space="preserve">ACH ($0.50), Card (2.95%)</t>
  </si>
  <si>
    <t xml:space="preserve">50+ years; family-style</t>
  </si>
  <si>
    <t xml:space="preserve">Dave Poletti &amp; Associates</t>
  </si>
  <si>
    <t xml:space="preserve">SFR, Condo, Multifamily</t>
  </si>
  <si>
    <t xml:space="preserve">Dave Poletti (President)</t>
  </si>
  <si>
    <t xml:space="preserve">1455 NW Leery Way #440, Seattle</t>
  </si>
  <si>
    <t xml:space="preserve">CRMC</t>
  </si>
  <si>
    <t xml:space="preserve">A+ (accredited 2007)</t>
  </si>
  <si>
    <t xml:space="preserve">33 years</t>
  </si>
  <si>
    <t xml:space="preserve">Madrona Real Estate</t>
  </si>
  <si>
    <t xml:space="preserve">Capitol Hill, Shoreline</t>
  </si>
  <si>
    <t xml:space="preserve">HOA, Retail, Residential, Vacation</t>
  </si>
  <si>
    <t xml:space="preserve">Mixed</t>
  </si>
  <si>
    <t xml:space="preserve">Brad Augustine</t>
  </si>
  <si>
    <t xml:space="preserve">1320 E Pike St, Seattle (+ Shoreline)</t>
  </si>
  <si>
    <t xml:space="preserve">Argus Financial Software</t>
  </si>
  <si>
    <t xml:space="preserve">Also San Juan Islands vacation</t>
  </si>
  <si>
    <t xml:space="preserve">Pacific Crest Real Estate</t>
  </si>
  <si>
    <t xml:space="preserve">Seattle, Eastside, South King</t>
  </si>
  <si>
    <t xml:space="preserve">200 1st Ave W #520, Seattle 98119</t>
  </si>
  <si>
    <t xml:space="preserve">Seattle Property Management Associates (SPMA)</t>
  </si>
  <si>
    <t xml:space="preserve">Multifamily, Commercial</t>
  </si>
  <si>
    <t xml:space="preserve">Richard L. Kemp (Principal), Gudrun K. Snyder (Designated Broker)</t>
  </si>
  <si>
    <t xml:space="preserve">Seattle's Property Management</t>
  </si>
  <si>
    <t xml:space="preserve">SFR, Condo, Small Multifamily</t>
  </si>
  <si>
    <t xml:space="preserve">appfolio.com</t>
  </si>
  <si>
    <t xml:space="preserve">NARPM, IREM</t>
  </si>
  <si>
    <t xml:space="preserve">25+ years</t>
  </si>
  <si>
    <t xml:space="preserve">GPS Renting</t>
  </si>
  <si>
    <t xml:space="preserve">Bryant Lu (Broker since 2014)</t>
  </si>
  <si>
    <t xml:space="preserve">ACH, Card, Apple Pay</t>
  </si>
  <si>
    <t xml:space="preserve">10% (subscription, no leasing fee)</t>
  </si>
  <si>
    <t xml:space="preserve">$0 (subscription)</t>
  </si>
  <si>
    <t xml:space="preserve">Multilingual: Mandarin, Cantonese, English; 48hr comms credit; 60-day cancellation</t>
  </si>
  <si>
    <t xml:space="preserve">Sagareus Property Management</t>
  </si>
  <si>
    <t xml:space="preserve">King, Pierce, Snohomish, Kitsap</t>
  </si>
  <si>
    <t xml:space="preserve">Greater Seattle, Eastside, South Sound, North Sound, Kitsap</t>
  </si>
  <si>
    <t xml:space="preserve">Greater Seattle</t>
  </si>
  <si>
    <t xml:space="preserve">2.5-3.0x</t>
  </si>
  <si>
    <t xml:space="preserve">Multi-level AI-assisted screening; First-in-Time + Fair Chance compliant</t>
  </si>
  <si>
    <t xml:space="preserve">Icon Real Estate Services</t>
  </si>
  <si>
    <t xml:space="preserve">King, Snohomish, Pierce, Grays Harbor, Kitsap</t>
  </si>
  <si>
    <t xml:space="preserve">Eastside, Seattle, South Sound, Snoho</t>
  </si>
  <si>
    <t xml:space="preserve">10900 NE 4th St, Bellevue 98004</t>
  </si>
  <si>
    <t xml:space="preserve">Boutique multifamily</t>
  </si>
  <si>
    <t xml:space="preserve">Davis Property Management</t>
  </si>
  <si>
    <t xml:space="preserve">Bellevue, Seattle, Puget Sound</t>
  </si>
  <si>
    <t xml:space="preserve">SFR, Condo, Townhome, Multifamily, Retail, Industrial, Commercial</t>
  </si>
  <si>
    <t xml:space="preserve">Bellevue / Seattle</t>
  </si>
  <si>
    <t xml:space="preserve">(206) 999-3023</t>
  </si>
  <si>
    <t xml:space="preserve">Locally rooted</t>
  </si>
  <si>
    <t xml:space="preserve">206 Property Management</t>
  </si>
  <si>
    <t xml:space="preserve">Seattle (Wallingford boutique)</t>
  </si>
  <si>
    <t xml:space="preserve">SFR, Small Multifamily, Studios-Triplex</t>
  </si>
  <si>
    <t xml:space="preserve">1901 N 45th 40-unit boutique</t>
  </si>
  <si>
    <t xml:space="preserve">Haven Property Management</t>
  </si>
  <si>
    <t xml:space="preserve">Federal Way</t>
  </si>
  <si>
    <t xml:space="preserve">Federal Way, South King</t>
  </si>
  <si>
    <t xml:space="preserve">James A. Hernandez, Savannah Hernandez, Richard Hernandez</t>
  </si>
  <si>
    <t xml:space="preserve">33600 6th Ave S #220, Federal Way 98003</t>
  </si>
  <si>
    <t xml:space="preserve">(253) 214-7441</t>
  </si>
  <si>
    <t xml:space="preserve">havenpropertymanagement.com</t>
  </si>
  <si>
    <t xml:space="preserve">8%</t>
  </si>
  <si>
    <t xml:space="preserve">100% (min $2,000); FSM 75% (min $1,200)</t>
  </si>
  <si>
    <t xml:space="preserve">$0</t>
  </si>
  <si>
    <t xml:space="preserve">0% (no markup)</t>
  </si>
  <si>
    <t xml:space="preserve">Mixed reviews</t>
  </si>
  <si>
    <t xml:space="preserve">131 Yelp / 257 Birdeye; mixed reviews on move-out charges</t>
  </si>
  <si>
    <t xml:space="preserve">Wilson Management</t>
  </si>
  <si>
    <t xml:space="preserve">Eastside, South King, South Snoho</t>
  </si>
  <si>
    <t xml:space="preserve">Gary, Maria</t>
  </si>
  <si>
    <t xml:space="preserve">Multi-county</t>
  </si>
  <si>
    <t xml:space="preserve">40+ years</t>
  </si>
  <si>
    <t xml:space="preserve">MacPherson's Real Estate</t>
  </si>
  <si>
    <t xml:space="preserve">North King, South Snoho, North Snoho</t>
  </si>
  <si>
    <t xml:space="preserve">Multi-city WA</t>
  </si>
  <si>
    <t xml:space="preserve">Anchor Agency</t>
  </si>
  <si>
    <t xml:space="preserve">Renton</t>
  </si>
  <si>
    <t xml:space="preserve">Renton, Seattle</t>
  </si>
  <si>
    <t xml:space="preserve">Bayley Le, Gelly Lirio</t>
  </si>
  <si>
    <t xml:space="preserve">Renton/Seattle</t>
  </si>
  <si>
    <t xml:space="preserve">Newer firm; 3,650 combined historical units</t>
  </si>
  <si>
    <t xml:space="preserve">Seattle Rental Group</t>
  </si>
  <si>
    <t xml:space="preserve">2107 Elliott Ave #206, Seattle</t>
  </si>
  <si>
    <t xml:space="preserve">Intellirent (screening)</t>
  </si>
  <si>
    <t xml:space="preserve">$48</t>
  </si>
  <si>
    <t xml:space="preserve">20+ years; zero-evictions claim</t>
  </si>
  <si>
    <t xml:space="preserve">Delta Property Management</t>
  </si>
  <si>
    <t xml:space="preserve">Marysville</t>
  </si>
  <si>
    <t xml:space="preserve">Marysville, Lake Stevens, Everett</t>
  </si>
  <si>
    <t xml:space="preserve">Snohomish County specialty</t>
  </si>
  <si>
    <t xml:space="preserve">Lifestyle Homes PM</t>
  </si>
  <si>
    <t xml:space="preserve">King, Snohomish, Skagit</t>
  </si>
  <si>
    <t xml:space="preserve">Mill Creek, North</t>
  </si>
  <si>
    <t xml:space="preserve">15522 Main St, Mill Creek (same bldg as T-Square)</t>
  </si>
  <si>
    <t xml:space="preserve">Infinity Properties International</t>
  </si>
  <si>
    <t xml:space="preserve">Arlington</t>
  </si>
  <si>
    <t xml:space="preserve">Arlington, Marysville, Stanwood, Lake Stevens</t>
  </si>
  <si>
    <t xml:space="preserve">Downtown Arlington, WA</t>
  </si>
  <si>
    <t xml:space="preserve">15+ years; 40+ pt biannual inspection</t>
  </si>
  <si>
    <t xml:space="preserve">Northwest Property Management Group</t>
  </si>
  <si>
    <t xml:space="preserve">Snohomish County</t>
  </si>
  <si>
    <t xml:space="preserve">27+ years</t>
  </si>
  <si>
    <t xml:space="preserve">Real Estate Gladiators</t>
  </si>
  <si>
    <t xml:space="preserve">Monroe</t>
  </si>
  <si>
    <t xml:space="preserve">Monroe, Eastside</t>
  </si>
  <si>
    <t xml:space="preserve">Monroe, WA</t>
  </si>
  <si>
    <t xml:space="preserve">Morgan Real Estate Management</t>
  </si>
  <si>
    <t xml:space="preserve">Local-Indep (Women-led)</t>
  </si>
  <si>
    <t xml:space="preserve">King, Snohomish, Whatcom</t>
  </si>
  <si>
    <t xml:space="preserve">South King, South Snoho, Bellingham</t>
  </si>
  <si>
    <t xml:space="preserve">Accredited</t>
  </si>
  <si>
    <t xml:space="preserve">30-day lease guarantee; Zillow Premier</t>
  </si>
  <si>
    <t xml:space="preserve">Blanton Turner</t>
  </si>
  <si>
    <t xml:space="preserve">Institutional Origin</t>
  </si>
  <si>
    <t xml:space="preserve">King, Snohomish, Pierce, OR</t>
  </si>
  <si>
    <t xml:space="preserve">PNW, Seattle Metro</t>
  </si>
  <si>
    <t xml:space="preserve">Multifamily, Student Housing</t>
  </si>
  <si>
    <t xml:space="preserve">Likely institutional</t>
  </si>
  <si>
    <t xml:space="preserve">Originated from Seattle development firm</t>
  </si>
  <si>
    <t xml:space="preserve">People's Real Estate</t>
  </si>
  <si>
    <t xml:space="preserve">SFR, Condo, Townhome, Community Assoc, Small Commercial</t>
  </si>
  <si>
    <t xml:space="preserve">206 Auburn Way N, Auburn 98002</t>
  </si>
  <si>
    <t xml:space="preserve">(253) 236-3552</t>
  </si>
  <si>
    <t xml:space="preserve">Acres Property Management</t>
  </si>
  <si>
    <t xml:space="preserve">Unknown</t>
  </si>
  <si>
    <t xml:space="preserve">Kent</t>
  </si>
  <si>
    <t xml:space="preserve">Kent area</t>
  </si>
  <si>
    <t xml:space="preserve">Ownership uncertain post mgmt-transition</t>
  </si>
  <si>
    <t xml:space="preserve">Disputed transition in tenant reviews</t>
  </si>
  <si>
    <t xml:space="preserve">Next Brick</t>
  </si>
  <si>
    <t xml:space="preserve">50% (min $1,500)</t>
  </si>
  <si>
    <t xml:space="preserve">$250 flat</t>
  </si>
  <si>
    <t xml:space="preserve">No long-term contracts; transparent pricing</t>
  </si>
  <si>
    <t xml:space="preserve">Maple Leaf Property Management</t>
  </si>
  <si>
    <t xml:space="preserve">SFR, Condo, Multi-plex, Multifamily, Apartments, Commercial</t>
  </si>
  <si>
    <t xml:space="preserve">Epic Asset Management</t>
  </si>
  <si>
    <t xml:space="preserve">Seattle Metro</t>
  </si>
  <si>
    <t xml:space="preserve">Manages own + third-party; ownership unclear</t>
  </si>
  <si>
    <t xml:space="preserve">Powell Property Management</t>
  </si>
  <si>
    <t xml:space="preserve">Seattle area</t>
  </si>
  <si>
    <t xml:space="preserve">Independent status not confirmed</t>
  </si>
  <si>
    <t xml:space="preserve">Tenant-screening guidance published</t>
  </si>
  <si>
    <t xml:space="preserve">Avenue One Residential</t>
  </si>
  <si>
    <t xml:space="preserve">Lease + mgmt only (no sales); 100+ yrs combined claim</t>
  </si>
  <si>
    <t xml:space="preserve">Windermere Property Management NW</t>
  </si>
  <si>
    <t xml:space="preserve">Independent Franchise</t>
  </si>
  <si>
    <t xml:space="preserve">Indep Franchise (Windermere)</t>
  </si>
  <si>
    <t xml:space="preserve">Everett</t>
  </si>
  <si>
    <t xml:space="preserve">Snohomish, King</t>
  </si>
  <si>
    <t xml:space="preserve">Everett, Edmonds, Lynnwood, MLT, North King</t>
  </si>
  <si>
    <t xml:space="preserve">SFR, Multifamily, Commercial, New Construction</t>
  </si>
  <si>
    <t xml:space="preserve">7003 Evergreen Way Suite A, Everett</t>
  </si>
  <si>
    <t xml:space="preserve">Independence varies by Windermere office</t>
  </si>
  <si>
    <t xml:space="preserve">DBA of Windermere Real Estate / Realty Brokerage Inc.</t>
  </si>
  <si>
    <t xml:space="preserve">JMW Group (Windermere PM)</t>
  </si>
  <si>
    <t xml:space="preserve">King, Pierce, Snohomish</t>
  </si>
  <si>
    <t xml:space="preserve">Seattle, Kirkland, Puyallup</t>
  </si>
  <si>
    <t xml:space="preserve">Seattle / Puyallup / Kirkland</t>
  </si>
  <si>
    <t xml:space="preserve">Independent Windermere franchise</t>
  </si>
  <si>
    <t xml:space="preserve">Coast Property Management</t>
  </si>
  <si>
    <t xml:space="preserve">Multi</t>
  </si>
  <si>
    <t xml:space="preserve">Large Multifamily</t>
  </si>
  <si>
    <t xml:space="preserve">Ownership not confirmed</t>
  </si>
  <si>
    <t xml:space="preserve">30+ years; large multifamily focus</t>
  </si>
  <si>
    <t xml:space="preserve">Wallace Properties</t>
  </si>
  <si>
    <t xml:space="preserve">Family-Owned (multigen)</t>
  </si>
  <si>
    <t xml:space="preserve">Commercial</t>
  </si>
  <si>
    <t xml:space="preserve">Commercial-focused</t>
  </si>
  <si>
    <t xml:space="preserve">Multi-generational family-owned</t>
  </si>
  <si>
    <t xml:space="preserve">Company</t>
  </si>
  <si>
    <t xml:space="preserve">Exclusion Category</t>
  </si>
  <si>
    <t xml:space="preserve">Backer / Owner</t>
  </si>
  <si>
    <t xml:space="preserve">Scale</t>
  </si>
  <si>
    <t xml:space="preserve">PURE Property Management (PURE HomeRiver)</t>
  </si>
  <si>
    <t xml:space="preserve">PE-backed</t>
  </si>
  <si>
    <t xml:space="preserve">Level Equity ($50M, Feb 2022), Bullock Capital, PGIM ($80M, Jan 2026)</t>
  </si>
  <si>
    <t xml:space="preserve">40,000+ SFR / 80+ offices / 35+ states</t>
  </si>
  <si>
    <t xml:space="preserve">Merged with HomeRiver Jan 2026; acquired Mercer Island operation Mar 2025</t>
  </si>
  <si>
    <t xml:space="preserve">Mynd Management</t>
  </si>
  <si>
    <t xml:space="preserve">VC-backed / Institutional</t>
  </si>
  <si>
    <t xml:space="preserve">Institutional flat-fee national operator</t>
  </si>
  <si>
    <t xml:space="preserve">National</t>
  </si>
  <si>
    <t xml:space="preserve">Utopia Property Management</t>
  </si>
  <si>
    <t xml:space="preserve">Multistate Roll-up</t>
  </si>
  <si>
    <t xml:space="preserve">CA, WA, OR, NV</t>
  </si>
  <si>
    <t xml:space="preserve">Large multistate</t>
  </si>
  <si>
    <t xml:space="preserve">Doorstead</t>
  </si>
  <si>
    <t xml:space="preserve">VC-backed Proptech</t>
  </si>
  <si>
    <t xml:space="preserve">VC</t>
  </si>
  <si>
    <t xml:space="preserve">Multi-market</t>
  </si>
  <si>
    <t xml:space="preserve">Ziprent</t>
  </si>
  <si>
    <t xml:space="preserve">Belong Home</t>
  </si>
  <si>
    <t xml:space="preserve">Greystar</t>
  </si>
  <si>
    <t xml:space="preserve">Institutional</t>
  </si>
  <si>
    <t xml:space="preserve">Greystar Real Estate Partners</t>
  </si>
  <si>
    <t xml:space="preserve">Global</t>
  </si>
  <si>
    <t xml:space="preserve">Invitation Homes</t>
  </si>
  <si>
    <t xml:space="preserve">REIT</t>
  </si>
  <si>
    <t xml:space="preserve">Public REIT (INVH)</t>
  </si>
  <si>
    <t xml:space="preserve">National SFR REIT</t>
  </si>
  <si>
    <t xml:space="preserve">American Homes 4 Rent (AMH)</t>
  </si>
  <si>
    <t xml:space="preserve">Public REIT (AMH)</t>
  </si>
  <si>
    <t xml:space="preserve">Progress Residential</t>
  </si>
  <si>
    <t xml:space="preserve">Institutional SFR</t>
  </si>
  <si>
    <t xml:space="preserve">Pretium Partners</t>
  </si>
  <si>
    <t xml:space="preserve">FirstKey Homes</t>
  </si>
  <si>
    <t xml:space="preserve">Cerberus Capital</t>
  </si>
  <si>
    <t xml:space="preserve">Mainstay Property Group</t>
  </si>
  <si>
    <t xml:space="preserve">Tricon Residential</t>
  </si>
  <si>
    <t xml:space="preserve">Tricon (acquired by Blackstone 2024)</t>
  </si>
  <si>
    <t xml:space="preserve">Roofstock Property Management</t>
  </si>
  <si>
    <t xml:space="preserve">Summary by Status</t>
  </si>
  <si>
    <t xml:space="preserve">Summary by PM Software (substring match)</t>
  </si>
  <si>
    <t xml:space="preserve">Count</t>
  </si>
  <si>
    <t xml:space="preserve">Software</t>
  </si>
  <si>
    <t xml:space="preserve">Count (incl. inferred)</t>
  </si>
  <si>
    <t xml:space="preserve">Rentvine</t>
  </si>
  <si>
    <t xml:space="preserve">Total</t>
  </si>
  <si>
    <t xml:space="preserve">Intellirent</t>
  </si>
  <si>
    <t xml:space="preserve">Argus</t>
  </si>
  <si>
    <t xml:space="preserve">Summary by County</t>
  </si>
  <si>
    <t xml:space="preserve">Primary County</t>
  </si>
  <si>
    <t xml:space="preserve">Answer</t>
  </si>
  <si>
    <t xml:space="preserve">Summary by Ownership Type</t>
  </si>
  <si>
    <t xml:space="preserve">Legend &amp; Notes</t>
  </si>
  <si>
    <t xml:space="preserve">Status: Confirmed Independent</t>
  </si>
  <si>
    <t xml:space="preserve">Family- or founder-owned local firm, no PE/VC/REIT backing identified</t>
  </si>
  <si>
    <t xml:space="preserve">Status: Flag-Review</t>
  </si>
  <si>
    <t xml:space="preserve">Scale, ownership origin, or institutional client mix raises questions; needs follow-up</t>
  </si>
  <si>
    <t xml:space="preserve">Status: Independent Franchise</t>
  </si>
  <si>
    <t xml:space="preserve">Independently operated Windermere franchise; treat as independent for this market</t>
  </si>
  <si>
    <t xml:space="preserve">Confirmed Independent rows</t>
  </si>
  <si>
    <t xml:space="preserve">Green fill in Status column</t>
  </si>
  <si>
    <t xml:space="preserve">Flag-Review rows</t>
  </si>
  <si>
    <t xml:space="preserve">Yellow fill in Status column</t>
  </si>
  <si>
    <t xml:space="preserve">Independent Franchise rows</t>
  </si>
  <si>
    <t xml:space="preserve">Blue fill in Status column</t>
  </si>
  <si>
    <t xml:space="preserve">Source</t>
  </si>
  <si>
    <t xml:space="preserve">King_County_Snohomish_County_PM_Companies research dataset (project knowledge)</t>
  </si>
  <si>
    <t xml:space="preserve">Excluded sheet</t>
  </si>
  <si>
    <t xml:space="preserve">PE-backed, VC-backed, REIT, and institutional roll-ups; do NOT compete with as 'independent'</t>
  </si>
  <si>
    <t xml:space="preserve">Filter usage</t>
  </si>
  <si>
    <t xml:space="preserve">Click any column header arrow on the Independent Companies sheet to filter by county, ownership type, software, etc.</t>
  </si>
  <si>
    <t xml:space="preserve">Empty cells</t>
  </si>
  <si>
    <t xml:space="preserve">Field present in source but value not disclosed or not yet verified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</si>
</sst>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E2EFDA"/>
      </patternFill>
    </fill>
    <fill>
      <patternFill patternType="solid">
        <fgColor rgb="FFDDEBF7"/>
        <bgColor rgb="FFE2EFD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ExcludedFirms" displayName="ExcludedFirms" ref="A1:E15" headerRowCount="1" totalsRowCount="0" totalsRowShown="0">
  <autoFilter ref="A1:E15"/>
  <tableColumns count="5">
    <tableColumn id="1" name="Company"/>
    <tableColumn id="2" name="Exclusion Category"/>
    <tableColumn id="3" name="Backer / Owner"/>
    <tableColumn id="4" name="Scale"/>
    <tableColumn id="5" name="Notes"/>
  </tableColumns>
</table>
</file>

<file path=xl/tables/table2.xml><?xml version="1.0" encoding="utf-8"?>
<table xmlns="http://schemas.openxmlformats.org/spreadsheetml/2006/main" id="2" name="IndependentCompanies" displayName="IndependentCompanies" ref="A1:AH53" headerRowCount="1" totalsRowCount="0" totalsRowShown="0">
  <autoFilter ref="A1:AH53"/>
  <tableColumns count="34">
    <tableColumn id="1" name="Company Name"/>
    <tableColumn id="2" name="Status"/>
    <tableColumn id="3" name="Ownership Type"/>
    <tableColumn id="4" name="Year Founded"/>
    <tableColumn id="5" name="Primary HQ City"/>
    <tableColumn id="6" name="County"/>
    <tableColumn id="7" name="Service Area (Counties)"/>
    <tableColumn id="8" name="Sub-Region"/>
    <tableColumn id="9" name="Property Types"/>
    <tableColumn id="10" name="Targets Small Landlords"/>
    <tableColumn id="11" name="Portfolio Size (Units)"/>
    <tableColumn id="12" name="Principals / Owners"/>
    <tableColumn id="13" name="Address"/>
    <tableColumn id="14" name="Phone"/>
    <tableColumn id="15" name="Website"/>
    <tableColumn id="16" name="PM Software"/>
    <tableColumn id="17" name="Tenant Portal"/>
    <tableColumn id="18" name="Tenant Payment Methods"/>
    <tableColumn id="19" name="Mgmt Fee %"/>
    <tableColumn id="20" name="Leasing Fee"/>
    <tableColumn id="21" name="Renewal Fee"/>
    <tableColumn id="22" name="Setup Fee"/>
    <tableColumn id="23" name="Maintenance Markup"/>
    <tableColumn id="24" name="Application Fee"/>
    <tableColumn id="25" name="Accepts Portable Screening"/>
    <tableColumn id="26" name="Credit Min"/>
    <tableColumn id="27" name="Income Ratio"/>
    <tableColumn id="28" name="Associations"/>
    <tableColumn id="29" name="Designations"/>
    <tableColumn id="30" name="Yelp Rating"/>
    <tableColumn id="31" name="Yelp Count"/>
    <tableColumn id="32" name="BBB Rating"/>
    <tableColumn id="33" name="Follow-up Flag"/>
    <tableColumn id="34" name="Not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26"/>
    <col collapsed="false" customWidth="true" hidden="false" outlineLevel="0" max="9" min="9" style="0" width="38"/>
    <col collapsed="false" customWidth="true" hidden="false" outlineLevel="0" max="11" min="10" style="0" width="14"/>
    <col collapsed="false" customWidth="true" hidden="false" outlineLevel="0" max="12" min="12" style="0" width="36"/>
    <col collapsed="false" customWidth="true" hidden="false" outlineLevel="0" max="13" min="13" style="0" width="38"/>
    <col collapsed="false" customWidth="true" hidden="false" outlineLevel="0" max="14" min="14" style="0" width="16"/>
    <col collapsed="false" customWidth="true" hidden="false" outlineLevel="0" max="16" min="15" style="0" width="28"/>
    <col collapsed="false" customWidth="true" hidden="false" outlineLevel="0" max="17" min="17" style="0" width="22"/>
    <col collapsed="false" customWidth="true" hidden="false" outlineLevel="0" max="18" min="18" style="0" width="30"/>
    <col collapsed="false" customWidth="true" hidden="false" outlineLevel="0" max="19" min="19" style="0" width="12"/>
    <col collapsed="false" customWidth="true" hidden="false" outlineLevel="0" max="20" min="20" style="0" width="22"/>
    <col collapsed="false" customWidth="true" hidden="false" outlineLevel="0" max="21" min="21" style="0" width="18"/>
    <col collapsed="false" customWidth="true" hidden="false" outlineLevel="0" max="22" min="22" style="0" width="22"/>
    <col collapsed="false" customWidth="true" hidden="false" outlineLevel="0" max="23" min="23" style="0" width="18"/>
    <col collapsed="false" customWidth="true" hidden="false" outlineLevel="0" max="24" min="24" style="0" width="12"/>
    <col collapsed="false" customWidth="true" hidden="false" outlineLevel="0" max="25" min="25" style="0" width="22"/>
    <col collapsed="false" customWidth="true" hidden="false" outlineLevel="0" max="26" min="26" style="0" width="10"/>
    <col collapsed="false" customWidth="true" hidden="false" outlineLevel="0" max="27" min="27" style="0" width="12"/>
    <col collapsed="false" customWidth="true" hidden="false" outlineLevel="0" max="28" min="28" style="0" width="30"/>
    <col collapsed="false" customWidth="true" hidden="false" outlineLevel="0" max="29" min="29" style="0" width="18"/>
    <col collapsed="false" customWidth="true" hidden="false" outlineLevel="0" max="30" min="30" style="0" width="12"/>
    <col collapsed="false" customWidth="true" hidden="false" outlineLevel="0" max="31" min="31" style="0" width="10"/>
    <col collapsed="false" customWidth="true" hidden="false" outlineLevel="0" max="32" min="32" style="0" width="12"/>
    <col collapsed="false" customWidth="true" hidden="false" outlineLevel="0" max="33" min="33" style="0" width="28"/>
    <col collapsed="false" customWidth="true" hidden="false" outlineLevel="0" max="34" min="34" style="0" width="40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customFormat="false" ht="23.85" hidden="false" customHeight="false" outlineLevel="0" collapsed="false">
      <c r="A2" s="2" t="s">
        <v>34</v>
      </c>
      <c r="B2" s="3" t="s">
        <v>35</v>
      </c>
      <c r="C2" s="2" t="s">
        <v>36</v>
      </c>
      <c r="D2" s="2" t="n">
        <v>1972</v>
      </c>
      <c r="E2" s="2" t="s">
        <v>37</v>
      </c>
      <c r="F2" s="2" t="s">
        <v>38</v>
      </c>
      <c r="G2" s="2" t="s">
        <v>38</v>
      </c>
      <c r="H2" s="2" t="s">
        <v>39</v>
      </c>
      <c r="I2" s="2" t="s">
        <v>40</v>
      </c>
      <c r="J2" s="2" t="s">
        <v>41</v>
      </c>
      <c r="K2" s="2"/>
      <c r="L2" s="2" t="s">
        <v>42</v>
      </c>
      <c r="M2" s="2" t="s">
        <v>43</v>
      </c>
      <c r="N2" s="2" t="s">
        <v>44</v>
      </c>
      <c r="O2" s="2" t="s">
        <v>45</v>
      </c>
      <c r="P2" s="2" t="s">
        <v>46</v>
      </c>
      <c r="Q2" s="2" t="s">
        <v>47</v>
      </c>
      <c r="R2" s="2" t="s">
        <v>48</v>
      </c>
      <c r="S2" s="2"/>
      <c r="T2" s="2"/>
      <c r="U2" s="2"/>
      <c r="V2" s="2"/>
      <c r="W2" s="2"/>
      <c r="X2" s="2"/>
      <c r="Y2" s="2" t="s">
        <v>49</v>
      </c>
      <c r="Z2" s="2"/>
      <c r="AA2" s="2"/>
      <c r="AB2" s="2" t="s">
        <v>50</v>
      </c>
      <c r="AC2" s="2" t="s">
        <v>51</v>
      </c>
      <c r="AD2" s="2" t="n">
        <v>3.5</v>
      </c>
      <c r="AE2" s="2" t="n">
        <v>37</v>
      </c>
      <c r="AF2" s="2"/>
      <c r="AG2" s="2"/>
      <c r="AH2" s="2" t="s">
        <v>52</v>
      </c>
    </row>
    <row r="3" customFormat="false" ht="23.85" hidden="false" customHeight="false" outlineLevel="0" collapsed="false">
      <c r="A3" s="2" t="s">
        <v>53</v>
      </c>
      <c r="B3" s="3" t="s">
        <v>35</v>
      </c>
      <c r="C3" s="2" t="s">
        <v>54</v>
      </c>
      <c r="D3" s="2" t="n">
        <v>2009</v>
      </c>
      <c r="E3" s="2" t="s">
        <v>55</v>
      </c>
      <c r="F3" s="2" t="s">
        <v>38</v>
      </c>
      <c r="G3" s="2" t="s">
        <v>38</v>
      </c>
      <c r="H3" s="2" t="s">
        <v>56</v>
      </c>
      <c r="I3" s="2" t="s">
        <v>57</v>
      </c>
      <c r="J3" s="2" t="s">
        <v>41</v>
      </c>
      <c r="K3" s="2" t="n">
        <v>1000</v>
      </c>
      <c r="L3" s="2" t="s">
        <v>58</v>
      </c>
      <c r="M3" s="2" t="s">
        <v>59</v>
      </c>
      <c r="N3" s="2" t="s">
        <v>60</v>
      </c>
      <c r="O3" s="2" t="s">
        <v>61</v>
      </c>
      <c r="P3" s="2" t="s">
        <v>62</v>
      </c>
      <c r="Q3" s="2" t="s">
        <v>63</v>
      </c>
      <c r="R3" s="2" t="s">
        <v>64</v>
      </c>
      <c r="S3" s="2" t="s">
        <v>65</v>
      </c>
      <c r="T3" s="2" t="s">
        <v>66</v>
      </c>
      <c r="U3" s="2" t="s">
        <v>67</v>
      </c>
      <c r="V3" s="2" t="s">
        <v>68</v>
      </c>
      <c r="W3" s="2"/>
      <c r="X3" s="2"/>
      <c r="Y3" s="2" t="s">
        <v>49</v>
      </c>
      <c r="Z3" s="2" t="n">
        <v>650</v>
      </c>
      <c r="AA3" s="2" t="s">
        <v>69</v>
      </c>
      <c r="AB3" s="2" t="s">
        <v>70</v>
      </c>
      <c r="AC3" s="2"/>
      <c r="AD3" s="2" t="n">
        <v>4.5</v>
      </c>
      <c r="AE3" s="2" t="n">
        <v>178</v>
      </c>
      <c r="AF3" s="2" t="s">
        <v>71</v>
      </c>
      <c r="AG3" s="2"/>
      <c r="AH3" s="2" t="s">
        <v>72</v>
      </c>
    </row>
    <row r="4" customFormat="false" ht="23.85" hidden="false" customHeight="false" outlineLevel="0" collapsed="false">
      <c r="A4" s="2" t="s">
        <v>73</v>
      </c>
      <c r="B4" s="3" t="s">
        <v>35</v>
      </c>
      <c r="C4" s="2" t="s">
        <v>54</v>
      </c>
      <c r="D4" s="2" t="n">
        <v>1991</v>
      </c>
      <c r="E4" s="2" t="s">
        <v>74</v>
      </c>
      <c r="F4" s="2" t="s">
        <v>38</v>
      </c>
      <c r="G4" s="2" t="s">
        <v>75</v>
      </c>
      <c r="H4" s="2" t="s">
        <v>76</v>
      </c>
      <c r="I4" s="2" t="s">
        <v>77</v>
      </c>
      <c r="J4" s="2" t="s">
        <v>41</v>
      </c>
      <c r="K4" s="2"/>
      <c r="L4" s="2"/>
      <c r="M4" s="2" t="s">
        <v>78</v>
      </c>
      <c r="N4" s="2" t="s">
        <v>79</v>
      </c>
      <c r="O4" s="2" t="s">
        <v>80</v>
      </c>
      <c r="P4" s="2" t="s">
        <v>62</v>
      </c>
      <c r="Q4" s="2" t="s">
        <v>80</v>
      </c>
      <c r="R4" s="2" t="s">
        <v>64</v>
      </c>
      <c r="S4" s="2"/>
      <c r="T4" s="2"/>
      <c r="U4" s="2"/>
      <c r="V4" s="2"/>
      <c r="W4" s="2"/>
      <c r="X4" s="2"/>
      <c r="Y4" s="2" t="s">
        <v>49</v>
      </c>
      <c r="Z4" s="2"/>
      <c r="AA4" s="2"/>
      <c r="AB4" s="2"/>
      <c r="AC4" s="2"/>
      <c r="AD4" s="2"/>
      <c r="AE4" s="2"/>
      <c r="AF4" s="2"/>
      <c r="AG4" s="2"/>
      <c r="AH4" s="2" t="s">
        <v>81</v>
      </c>
    </row>
    <row r="5" customFormat="false" ht="15" hidden="false" customHeight="false" outlineLevel="0" collapsed="false">
      <c r="A5" s="2" t="s">
        <v>82</v>
      </c>
      <c r="B5" s="3" t="s">
        <v>35</v>
      </c>
      <c r="C5" s="2" t="s">
        <v>54</v>
      </c>
      <c r="D5" s="2" t="n">
        <v>1996</v>
      </c>
      <c r="E5" s="2" t="s">
        <v>83</v>
      </c>
      <c r="F5" s="2" t="s">
        <v>38</v>
      </c>
      <c r="G5" s="2" t="s">
        <v>75</v>
      </c>
      <c r="H5" s="2" t="s">
        <v>84</v>
      </c>
      <c r="I5" s="2" t="s">
        <v>85</v>
      </c>
      <c r="J5" s="2" t="s">
        <v>41</v>
      </c>
      <c r="K5" s="2"/>
      <c r="L5" s="2" t="s">
        <v>86</v>
      </c>
      <c r="M5" s="2" t="s">
        <v>87</v>
      </c>
      <c r="N5" s="2" t="s">
        <v>88</v>
      </c>
      <c r="O5" s="2"/>
      <c r="P5" s="2" t="s">
        <v>89</v>
      </c>
      <c r="Q5" s="2" t="s">
        <v>47</v>
      </c>
      <c r="R5" s="2" t="s">
        <v>90</v>
      </c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 t="n">
        <v>94</v>
      </c>
      <c r="AF5" s="2"/>
      <c r="AG5" s="2"/>
      <c r="AH5" s="2" t="s">
        <v>91</v>
      </c>
    </row>
    <row r="6" customFormat="false" ht="23.85" hidden="false" customHeight="false" outlineLevel="0" collapsed="false">
      <c r="A6" s="2" t="s">
        <v>92</v>
      </c>
      <c r="B6" s="3" t="s">
        <v>35</v>
      </c>
      <c r="C6" s="2" t="s">
        <v>36</v>
      </c>
      <c r="D6" s="2"/>
      <c r="E6" s="2" t="s">
        <v>93</v>
      </c>
      <c r="F6" s="2" t="s">
        <v>38</v>
      </c>
      <c r="G6" s="2" t="s">
        <v>75</v>
      </c>
      <c r="H6" s="2" t="s">
        <v>84</v>
      </c>
      <c r="I6" s="2" t="s">
        <v>94</v>
      </c>
      <c r="J6" s="2" t="s">
        <v>41</v>
      </c>
      <c r="K6" s="2"/>
      <c r="L6" s="2" t="s">
        <v>95</v>
      </c>
      <c r="M6" s="2" t="s">
        <v>96</v>
      </c>
      <c r="N6" s="2"/>
      <c r="O6" s="2"/>
      <c r="P6" s="2" t="s">
        <v>89</v>
      </c>
      <c r="Q6" s="2" t="s">
        <v>97</v>
      </c>
      <c r="R6" s="2" t="s">
        <v>98</v>
      </c>
      <c r="S6" s="2" t="s">
        <v>99</v>
      </c>
      <c r="T6" s="2" t="s">
        <v>100</v>
      </c>
      <c r="U6" s="2"/>
      <c r="V6" s="2"/>
      <c r="W6" s="2" t="s">
        <v>101</v>
      </c>
      <c r="X6" s="2"/>
      <c r="Y6" s="2"/>
      <c r="Z6" s="2"/>
      <c r="AA6" s="2"/>
      <c r="AB6" s="2"/>
      <c r="AC6" s="2"/>
      <c r="AD6" s="2"/>
      <c r="AE6" s="2"/>
      <c r="AF6" s="2"/>
      <c r="AG6" s="2"/>
      <c r="AH6" s="2" t="s">
        <v>102</v>
      </c>
    </row>
    <row r="7" customFormat="false" ht="23.85" hidden="false" customHeight="false" outlineLevel="0" collapsed="false">
      <c r="A7" s="2" t="s">
        <v>103</v>
      </c>
      <c r="B7" s="3" t="s">
        <v>35</v>
      </c>
      <c r="C7" s="2" t="s">
        <v>104</v>
      </c>
      <c r="D7" s="2" t="n">
        <v>1983</v>
      </c>
      <c r="E7" s="2" t="s">
        <v>55</v>
      </c>
      <c r="F7" s="2" t="s">
        <v>38</v>
      </c>
      <c r="G7" s="2" t="s">
        <v>38</v>
      </c>
      <c r="H7" s="2" t="s">
        <v>56</v>
      </c>
      <c r="I7" s="2" t="s">
        <v>105</v>
      </c>
      <c r="J7" s="2" t="s">
        <v>41</v>
      </c>
      <c r="K7" s="2"/>
      <c r="L7" s="2" t="s">
        <v>106</v>
      </c>
      <c r="M7" s="2" t="s">
        <v>107</v>
      </c>
      <c r="N7" s="2"/>
      <c r="O7" s="2"/>
      <c r="P7" s="2" t="s">
        <v>89</v>
      </c>
      <c r="Q7" s="2"/>
      <c r="R7" s="2" t="s">
        <v>98</v>
      </c>
      <c r="S7" s="2"/>
      <c r="T7" s="2"/>
      <c r="U7" s="2"/>
      <c r="V7" s="2"/>
      <c r="W7" s="2"/>
      <c r="X7" s="2"/>
      <c r="Y7" s="2"/>
      <c r="Z7" s="2"/>
      <c r="AA7" s="2"/>
      <c r="AB7" s="2" t="s">
        <v>108</v>
      </c>
      <c r="AC7" s="2"/>
      <c r="AD7" s="2"/>
      <c r="AE7" s="2"/>
      <c r="AF7" s="2"/>
      <c r="AG7" s="2"/>
      <c r="AH7" s="2"/>
    </row>
    <row r="8" customFormat="false" ht="15" hidden="false" customHeight="false" outlineLevel="0" collapsed="false">
      <c r="A8" s="2" t="s">
        <v>109</v>
      </c>
      <c r="B8" s="4" t="s">
        <v>110</v>
      </c>
      <c r="C8" s="2" t="s">
        <v>111</v>
      </c>
      <c r="D8" s="2" t="n">
        <v>2000</v>
      </c>
      <c r="E8" s="2" t="s">
        <v>74</v>
      </c>
      <c r="F8" s="2" t="s">
        <v>38</v>
      </c>
      <c r="G8" s="2" t="s">
        <v>75</v>
      </c>
      <c r="H8" s="2" t="s">
        <v>76</v>
      </c>
      <c r="I8" s="2" t="s">
        <v>94</v>
      </c>
      <c r="J8" s="2" t="s">
        <v>41</v>
      </c>
      <c r="K8" s="2"/>
      <c r="L8" s="2" t="s">
        <v>112</v>
      </c>
      <c r="M8" s="2" t="s">
        <v>113</v>
      </c>
      <c r="N8" s="2" t="s">
        <v>114</v>
      </c>
      <c r="O8" s="2"/>
      <c r="P8" s="2" t="s">
        <v>89</v>
      </c>
      <c r="Q8" s="2"/>
      <c r="R8" s="2" t="s">
        <v>98</v>
      </c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 t="n">
        <v>179</v>
      </c>
      <c r="AF8" s="2"/>
      <c r="AG8" s="2" t="s">
        <v>115</v>
      </c>
      <c r="AH8" s="2" t="s">
        <v>116</v>
      </c>
    </row>
    <row r="9" customFormat="false" ht="15" hidden="false" customHeight="false" outlineLevel="0" collapsed="false">
      <c r="A9" s="2" t="s">
        <v>117</v>
      </c>
      <c r="B9" s="3" t="s">
        <v>35</v>
      </c>
      <c r="C9" s="2" t="s">
        <v>118</v>
      </c>
      <c r="D9" s="2"/>
      <c r="E9" s="2"/>
      <c r="F9" s="2" t="s">
        <v>38</v>
      </c>
      <c r="G9" s="2" t="s">
        <v>75</v>
      </c>
      <c r="H9" s="2" t="s">
        <v>119</v>
      </c>
      <c r="I9" s="2" t="s">
        <v>120</v>
      </c>
      <c r="J9" s="2" t="s">
        <v>41</v>
      </c>
      <c r="K9" s="2"/>
      <c r="L9" s="2"/>
      <c r="M9" s="2" t="s">
        <v>121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 t="s">
        <v>122</v>
      </c>
    </row>
    <row r="10" customFormat="false" ht="15" hidden="false" customHeight="false" outlineLevel="0" collapsed="false">
      <c r="A10" s="2" t="s">
        <v>123</v>
      </c>
      <c r="B10" s="3" t="s">
        <v>35</v>
      </c>
      <c r="C10" s="2" t="s">
        <v>124</v>
      </c>
      <c r="D10" s="2"/>
      <c r="E10" s="2" t="s">
        <v>74</v>
      </c>
      <c r="F10" s="2" t="s">
        <v>38</v>
      </c>
      <c r="G10" s="2" t="s">
        <v>38</v>
      </c>
      <c r="H10" s="2" t="s">
        <v>125</v>
      </c>
      <c r="I10" s="2" t="s">
        <v>85</v>
      </c>
      <c r="J10" s="2" t="s">
        <v>41</v>
      </c>
      <c r="K10" s="2"/>
      <c r="L10" s="2" t="s">
        <v>126</v>
      </c>
      <c r="M10" s="2" t="s">
        <v>125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 t="s">
        <v>124</v>
      </c>
    </row>
    <row r="11" customFormat="false" ht="23.85" hidden="false" customHeight="false" outlineLevel="0" collapsed="false">
      <c r="A11" s="2" t="s">
        <v>127</v>
      </c>
      <c r="B11" s="3" t="s">
        <v>35</v>
      </c>
      <c r="C11" s="2" t="s">
        <v>54</v>
      </c>
      <c r="D11" s="2"/>
      <c r="E11" s="2" t="s">
        <v>74</v>
      </c>
      <c r="F11" s="2" t="s">
        <v>38</v>
      </c>
      <c r="G11" s="2" t="s">
        <v>128</v>
      </c>
      <c r="H11" s="2" t="s">
        <v>129</v>
      </c>
      <c r="I11" s="2" t="s">
        <v>85</v>
      </c>
      <c r="J11" s="2" t="s">
        <v>41</v>
      </c>
      <c r="K11" s="2"/>
      <c r="L11" s="2"/>
      <c r="M11" s="2" t="s">
        <v>74</v>
      </c>
      <c r="N11" s="2"/>
      <c r="O11" s="2"/>
      <c r="P11" s="2" t="s">
        <v>62</v>
      </c>
      <c r="Q11" s="2" t="s">
        <v>62</v>
      </c>
      <c r="R11" s="2" t="s">
        <v>98</v>
      </c>
      <c r="S11" s="2"/>
      <c r="T11" s="2"/>
      <c r="U11" s="2"/>
      <c r="V11" s="2"/>
      <c r="W11" s="2"/>
      <c r="X11" s="2"/>
      <c r="Y11" s="2"/>
      <c r="Z11" s="2" t="n">
        <v>610</v>
      </c>
      <c r="AA11" s="2"/>
      <c r="AB11" s="2"/>
      <c r="AC11" s="2"/>
      <c r="AD11" s="2"/>
      <c r="AE11" s="2"/>
      <c r="AF11" s="2"/>
      <c r="AG11" s="2"/>
      <c r="AH11" s="2" t="s">
        <v>130</v>
      </c>
    </row>
    <row r="12" customFormat="false" ht="23.85" hidden="false" customHeight="false" outlineLevel="0" collapsed="false">
      <c r="A12" s="2" t="s">
        <v>131</v>
      </c>
      <c r="B12" s="3" t="s">
        <v>35</v>
      </c>
      <c r="C12" s="2" t="s">
        <v>54</v>
      </c>
      <c r="D12" s="2" t="n">
        <v>1990</v>
      </c>
      <c r="E12" s="2" t="s">
        <v>74</v>
      </c>
      <c r="F12" s="2" t="s">
        <v>38</v>
      </c>
      <c r="G12" s="2" t="s">
        <v>38</v>
      </c>
      <c r="H12" s="2" t="s">
        <v>132</v>
      </c>
      <c r="I12" s="2" t="s">
        <v>133</v>
      </c>
      <c r="J12" s="2" t="s">
        <v>41</v>
      </c>
      <c r="K12" s="2" t="n">
        <v>25</v>
      </c>
      <c r="L12" s="2" t="s">
        <v>134</v>
      </c>
      <c r="M12" s="2" t="s">
        <v>74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 t="s">
        <v>135</v>
      </c>
    </row>
    <row r="13" customFormat="false" ht="35.05" hidden="false" customHeight="false" outlineLevel="0" collapsed="false">
      <c r="A13" s="2" t="s">
        <v>136</v>
      </c>
      <c r="B13" s="3" t="s">
        <v>35</v>
      </c>
      <c r="C13" s="2" t="s">
        <v>54</v>
      </c>
      <c r="D13" s="2"/>
      <c r="E13" s="2" t="s">
        <v>74</v>
      </c>
      <c r="F13" s="2" t="s">
        <v>38</v>
      </c>
      <c r="G13" s="2" t="s">
        <v>38</v>
      </c>
      <c r="H13" s="2" t="s">
        <v>137</v>
      </c>
      <c r="I13" s="2" t="s">
        <v>85</v>
      </c>
      <c r="J13" s="2" t="s">
        <v>41</v>
      </c>
      <c r="K13" s="2"/>
      <c r="L13" s="2" t="s">
        <v>138</v>
      </c>
      <c r="M13" s="2" t="s">
        <v>139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 t="s">
        <v>140</v>
      </c>
      <c r="AD13" s="2"/>
      <c r="AE13" s="2"/>
      <c r="AF13" s="2" t="s">
        <v>141</v>
      </c>
      <c r="AG13" s="2"/>
      <c r="AH13" s="2" t="s">
        <v>142</v>
      </c>
    </row>
    <row r="14" customFormat="false" ht="35.05" hidden="false" customHeight="false" outlineLevel="0" collapsed="false">
      <c r="A14" s="2" t="s">
        <v>143</v>
      </c>
      <c r="B14" s="3" t="s">
        <v>35</v>
      </c>
      <c r="C14" s="2" t="s">
        <v>144</v>
      </c>
      <c r="D14" s="2"/>
      <c r="E14" s="2"/>
      <c r="F14" s="2" t="s">
        <v>38</v>
      </c>
      <c r="G14" s="2" t="s">
        <v>75</v>
      </c>
      <c r="H14" s="2" t="s">
        <v>145</v>
      </c>
      <c r="I14" s="2" t="s">
        <v>85</v>
      </c>
      <c r="J14" s="2" t="s">
        <v>41</v>
      </c>
      <c r="K14" s="2"/>
      <c r="L14" s="2"/>
      <c r="M14" s="2" t="s">
        <v>146</v>
      </c>
      <c r="N14" s="2"/>
      <c r="O14" s="2"/>
      <c r="P14" s="2" t="s">
        <v>89</v>
      </c>
      <c r="Q14" s="2"/>
      <c r="R14" s="2" t="s">
        <v>98</v>
      </c>
      <c r="S14" s="2"/>
      <c r="T14" s="2"/>
      <c r="U14" s="2"/>
      <c r="V14" s="2"/>
      <c r="W14" s="2"/>
      <c r="X14" s="2"/>
      <c r="Y14" s="2"/>
      <c r="Z14" s="2"/>
      <c r="AA14" s="2" t="s">
        <v>147</v>
      </c>
      <c r="AB14" s="2"/>
      <c r="AC14" s="2"/>
      <c r="AD14" s="2"/>
      <c r="AE14" s="2"/>
      <c r="AF14" s="2"/>
      <c r="AG14" s="2"/>
      <c r="AH14" s="2" t="s">
        <v>148</v>
      </c>
    </row>
    <row r="15" customFormat="false" ht="23.85" hidden="false" customHeight="false" outlineLevel="0" collapsed="false">
      <c r="A15" s="2" t="s">
        <v>149</v>
      </c>
      <c r="B15" s="3" t="s">
        <v>35</v>
      </c>
      <c r="C15" s="2" t="s">
        <v>54</v>
      </c>
      <c r="D15" s="2" t="n">
        <v>1996</v>
      </c>
      <c r="E15" s="2" t="s">
        <v>150</v>
      </c>
      <c r="F15" s="2" t="s">
        <v>151</v>
      </c>
      <c r="G15" s="2" t="s">
        <v>75</v>
      </c>
      <c r="H15" s="2" t="s">
        <v>152</v>
      </c>
      <c r="I15" s="2" t="s">
        <v>153</v>
      </c>
      <c r="J15" s="2" t="s">
        <v>41</v>
      </c>
      <c r="K15" s="2"/>
      <c r="L15" s="2"/>
      <c r="M15" s="2" t="s">
        <v>154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 t="s">
        <v>155</v>
      </c>
      <c r="AC15" s="2"/>
      <c r="AD15" s="2"/>
      <c r="AE15" s="2"/>
      <c r="AF15" s="2"/>
      <c r="AG15" s="2"/>
      <c r="AH15" s="2" t="s">
        <v>156</v>
      </c>
    </row>
    <row r="16" customFormat="false" ht="23.85" hidden="false" customHeight="false" outlineLevel="0" collapsed="false">
      <c r="A16" s="2" t="s">
        <v>157</v>
      </c>
      <c r="B16" s="3" t="s">
        <v>35</v>
      </c>
      <c r="C16" s="2" t="s">
        <v>36</v>
      </c>
      <c r="D16" s="2" t="n">
        <v>1972</v>
      </c>
      <c r="E16" s="2" t="s">
        <v>74</v>
      </c>
      <c r="F16" s="2" t="s">
        <v>38</v>
      </c>
      <c r="G16" s="2" t="s">
        <v>38</v>
      </c>
      <c r="H16" s="2" t="s">
        <v>74</v>
      </c>
      <c r="I16" s="2" t="s">
        <v>153</v>
      </c>
      <c r="J16" s="2" t="s">
        <v>41</v>
      </c>
      <c r="K16" s="2" t="n">
        <v>1000</v>
      </c>
      <c r="L16" s="2"/>
      <c r="M16" s="2" t="s">
        <v>158</v>
      </c>
      <c r="N16" s="2"/>
      <c r="O16" s="2"/>
      <c r="P16" s="2" t="s">
        <v>62</v>
      </c>
      <c r="Q16" s="2" t="s">
        <v>159</v>
      </c>
      <c r="R16" s="2" t="s">
        <v>160</v>
      </c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 t="s">
        <v>161</v>
      </c>
    </row>
    <row r="17" customFormat="false" ht="15" hidden="false" customHeight="false" outlineLevel="0" collapsed="false">
      <c r="A17" s="2" t="s">
        <v>162</v>
      </c>
      <c r="B17" s="3" t="s">
        <v>35</v>
      </c>
      <c r="C17" s="2" t="s">
        <v>36</v>
      </c>
      <c r="D17" s="2" t="n">
        <v>1973</v>
      </c>
      <c r="E17" s="2" t="s">
        <v>74</v>
      </c>
      <c r="F17" s="2" t="s">
        <v>38</v>
      </c>
      <c r="G17" s="2" t="s">
        <v>38</v>
      </c>
      <c r="H17" s="2" t="s">
        <v>163</v>
      </c>
      <c r="I17" s="2" t="s">
        <v>164</v>
      </c>
      <c r="J17" s="2" t="s">
        <v>41</v>
      </c>
      <c r="K17" s="2"/>
      <c r="L17" s="2" t="s">
        <v>165</v>
      </c>
      <c r="M17" s="2" t="s">
        <v>163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 t="s">
        <v>166</v>
      </c>
    </row>
    <row r="18" customFormat="false" ht="23.85" hidden="false" customHeight="false" outlineLevel="0" collapsed="false">
      <c r="A18" s="2" t="s">
        <v>167</v>
      </c>
      <c r="B18" s="4" t="s">
        <v>110</v>
      </c>
      <c r="C18" s="2" t="s">
        <v>168</v>
      </c>
      <c r="D18" s="2" t="n">
        <v>1972</v>
      </c>
      <c r="E18" s="2" t="s">
        <v>74</v>
      </c>
      <c r="F18" s="2" t="s">
        <v>38</v>
      </c>
      <c r="G18" s="2" t="s">
        <v>38</v>
      </c>
      <c r="H18" s="2" t="s">
        <v>169</v>
      </c>
      <c r="I18" s="2" t="s">
        <v>170</v>
      </c>
      <c r="J18" s="2" t="s">
        <v>41</v>
      </c>
      <c r="K18" s="2" t="n">
        <v>6000</v>
      </c>
      <c r="L18" s="2" t="s">
        <v>171</v>
      </c>
      <c r="M18" s="2" t="s">
        <v>172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 t="s">
        <v>173</v>
      </c>
    </row>
    <row r="19" customFormat="false" ht="15" hidden="false" customHeight="false" outlineLevel="0" collapsed="false">
      <c r="A19" s="2" t="s">
        <v>174</v>
      </c>
      <c r="B19" s="3" t="s">
        <v>35</v>
      </c>
      <c r="C19" s="2" t="s">
        <v>144</v>
      </c>
      <c r="D19" s="2" t="n">
        <v>1960</v>
      </c>
      <c r="E19" s="2" t="s">
        <v>74</v>
      </c>
      <c r="F19" s="2" t="s">
        <v>38</v>
      </c>
      <c r="G19" s="2" t="s">
        <v>38</v>
      </c>
      <c r="H19" s="2" t="s">
        <v>175</v>
      </c>
      <c r="I19" s="2" t="s">
        <v>133</v>
      </c>
      <c r="J19" s="2" t="s">
        <v>49</v>
      </c>
      <c r="K19" s="2"/>
      <c r="L19" s="2"/>
      <c r="M19" s="2" t="s">
        <v>176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 t="s">
        <v>177</v>
      </c>
    </row>
    <row r="20" customFormat="false" ht="15" hidden="false" customHeight="false" outlineLevel="0" collapsed="false">
      <c r="A20" s="2" t="s">
        <v>178</v>
      </c>
      <c r="B20" s="3" t="s">
        <v>35</v>
      </c>
      <c r="C20" s="2" t="s">
        <v>144</v>
      </c>
      <c r="D20" s="2"/>
      <c r="E20" s="2" t="s">
        <v>74</v>
      </c>
      <c r="F20" s="2" t="s">
        <v>38</v>
      </c>
      <c r="G20" s="2" t="s">
        <v>38</v>
      </c>
      <c r="H20" s="2" t="s">
        <v>74</v>
      </c>
      <c r="I20" s="2" t="s">
        <v>179</v>
      </c>
      <c r="J20" s="2" t="s">
        <v>41</v>
      </c>
      <c r="K20" s="2"/>
      <c r="L20" s="2"/>
      <c r="M20" s="2" t="s">
        <v>180</v>
      </c>
      <c r="N20" s="2"/>
      <c r="O20" s="2"/>
      <c r="P20" s="2" t="s">
        <v>181</v>
      </c>
      <c r="Q20" s="2" t="s">
        <v>182</v>
      </c>
      <c r="R20" s="2" t="s">
        <v>183</v>
      </c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 t="s">
        <v>184</v>
      </c>
    </row>
    <row r="21" customFormat="false" ht="35.05" hidden="false" customHeight="false" outlineLevel="0" collapsed="false">
      <c r="A21" s="2" t="s">
        <v>185</v>
      </c>
      <c r="B21" s="3" t="s">
        <v>35</v>
      </c>
      <c r="C21" s="2" t="s">
        <v>54</v>
      </c>
      <c r="D21" s="2" t="n">
        <v>1992</v>
      </c>
      <c r="E21" s="2" t="s">
        <v>74</v>
      </c>
      <c r="F21" s="2" t="s">
        <v>38</v>
      </c>
      <c r="G21" s="2" t="s">
        <v>38</v>
      </c>
      <c r="H21" s="2" t="s">
        <v>74</v>
      </c>
      <c r="I21" s="2" t="s">
        <v>186</v>
      </c>
      <c r="J21" s="2" t="s">
        <v>41</v>
      </c>
      <c r="K21" s="2"/>
      <c r="L21" s="2" t="s">
        <v>187</v>
      </c>
      <c r="M21" s="2" t="s">
        <v>188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 t="s">
        <v>189</v>
      </c>
      <c r="AD21" s="2"/>
      <c r="AE21" s="2"/>
      <c r="AF21" s="2" t="s">
        <v>190</v>
      </c>
      <c r="AG21" s="2"/>
      <c r="AH21" s="2" t="s">
        <v>191</v>
      </c>
    </row>
    <row r="22" customFormat="false" ht="15" hidden="false" customHeight="false" outlineLevel="0" collapsed="false">
      <c r="A22" s="2" t="s">
        <v>192</v>
      </c>
      <c r="B22" s="3" t="s">
        <v>35</v>
      </c>
      <c r="C22" s="2" t="s">
        <v>54</v>
      </c>
      <c r="D22" s="2"/>
      <c r="E22" s="2" t="s">
        <v>74</v>
      </c>
      <c r="F22" s="2" t="s">
        <v>38</v>
      </c>
      <c r="G22" s="2" t="s">
        <v>38</v>
      </c>
      <c r="H22" s="2" t="s">
        <v>193</v>
      </c>
      <c r="I22" s="2" t="s">
        <v>194</v>
      </c>
      <c r="J22" s="2" t="s">
        <v>195</v>
      </c>
      <c r="K22" s="2"/>
      <c r="L22" s="2" t="s">
        <v>196</v>
      </c>
      <c r="M22" s="2" t="s">
        <v>197</v>
      </c>
      <c r="N22" s="2"/>
      <c r="O22" s="2"/>
      <c r="P22" s="2" t="s">
        <v>198</v>
      </c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 t="s">
        <v>199</v>
      </c>
    </row>
    <row r="23" customFormat="false" ht="15" hidden="false" customHeight="false" outlineLevel="0" collapsed="false">
      <c r="A23" s="2" t="s">
        <v>200</v>
      </c>
      <c r="B23" s="3" t="s">
        <v>35</v>
      </c>
      <c r="C23" s="2" t="s">
        <v>54</v>
      </c>
      <c r="D23" s="2" t="n">
        <v>2003</v>
      </c>
      <c r="E23" s="2" t="s">
        <v>74</v>
      </c>
      <c r="F23" s="2" t="s">
        <v>38</v>
      </c>
      <c r="G23" s="2" t="s">
        <v>38</v>
      </c>
      <c r="H23" s="2" t="s">
        <v>201</v>
      </c>
      <c r="I23" s="2" t="s">
        <v>133</v>
      </c>
      <c r="J23" s="2" t="s">
        <v>41</v>
      </c>
      <c r="K23" s="2"/>
      <c r="L23" s="2"/>
      <c r="M23" s="2" t="s">
        <v>202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 t="n">
        <v>53</v>
      </c>
      <c r="AF23" s="2"/>
      <c r="AG23" s="2"/>
      <c r="AH23" s="2"/>
    </row>
    <row r="24" customFormat="false" ht="23.85" hidden="false" customHeight="false" outlineLevel="0" collapsed="false">
      <c r="A24" s="2" t="s">
        <v>203</v>
      </c>
      <c r="B24" s="3" t="s">
        <v>35</v>
      </c>
      <c r="C24" s="2" t="s">
        <v>54</v>
      </c>
      <c r="D24" s="2" t="n">
        <v>1979</v>
      </c>
      <c r="E24" s="2" t="s">
        <v>74</v>
      </c>
      <c r="F24" s="2" t="s">
        <v>38</v>
      </c>
      <c r="G24" s="2" t="s">
        <v>38</v>
      </c>
      <c r="H24" s="2" t="s">
        <v>74</v>
      </c>
      <c r="I24" s="2" t="s">
        <v>204</v>
      </c>
      <c r="J24" s="2" t="s">
        <v>41</v>
      </c>
      <c r="K24" s="2"/>
      <c r="L24" s="2" t="s">
        <v>205</v>
      </c>
      <c r="M24" s="2" t="s">
        <v>74</v>
      </c>
      <c r="N24" s="2"/>
      <c r="O24" s="2"/>
      <c r="P24" s="2" t="s">
        <v>62</v>
      </c>
      <c r="Q24" s="2" t="s">
        <v>62</v>
      </c>
      <c r="R24" s="2" t="s">
        <v>98</v>
      </c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customFormat="false" ht="15" hidden="false" customHeight="false" outlineLevel="0" collapsed="false">
      <c r="A25" s="2" t="s">
        <v>206</v>
      </c>
      <c r="B25" s="3" t="s">
        <v>35</v>
      </c>
      <c r="C25" s="2" t="s">
        <v>144</v>
      </c>
      <c r="D25" s="2"/>
      <c r="E25" s="2" t="s">
        <v>74</v>
      </c>
      <c r="F25" s="2" t="s">
        <v>38</v>
      </c>
      <c r="G25" s="2" t="s">
        <v>38</v>
      </c>
      <c r="H25" s="2" t="s">
        <v>74</v>
      </c>
      <c r="I25" s="2" t="s">
        <v>207</v>
      </c>
      <c r="J25" s="2" t="s">
        <v>41</v>
      </c>
      <c r="K25" s="2"/>
      <c r="L25" s="2"/>
      <c r="M25" s="2" t="s">
        <v>74</v>
      </c>
      <c r="N25" s="2"/>
      <c r="O25" s="2"/>
      <c r="P25" s="2" t="s">
        <v>62</v>
      </c>
      <c r="Q25" s="2" t="s">
        <v>208</v>
      </c>
      <c r="R25" s="2" t="s">
        <v>98</v>
      </c>
      <c r="S25" s="2"/>
      <c r="T25" s="2"/>
      <c r="U25" s="2"/>
      <c r="V25" s="2"/>
      <c r="W25" s="2"/>
      <c r="X25" s="2"/>
      <c r="Y25" s="2"/>
      <c r="Z25" s="2"/>
      <c r="AA25" s="2"/>
      <c r="AB25" s="2" t="s">
        <v>209</v>
      </c>
      <c r="AC25" s="2"/>
      <c r="AD25" s="2"/>
      <c r="AE25" s="2"/>
      <c r="AF25" s="2" t="s">
        <v>71</v>
      </c>
      <c r="AG25" s="2"/>
      <c r="AH25" s="2" t="s">
        <v>210</v>
      </c>
    </row>
    <row r="26" customFormat="false" ht="46.25" hidden="false" customHeight="false" outlineLevel="0" collapsed="false">
      <c r="A26" s="2" t="s">
        <v>211</v>
      </c>
      <c r="B26" s="3" t="s">
        <v>35</v>
      </c>
      <c r="C26" s="2" t="s">
        <v>54</v>
      </c>
      <c r="D26" s="2"/>
      <c r="E26" s="2" t="s">
        <v>83</v>
      </c>
      <c r="F26" s="2" t="s">
        <v>38</v>
      </c>
      <c r="G26" s="2" t="s">
        <v>38</v>
      </c>
      <c r="H26" s="2" t="s">
        <v>56</v>
      </c>
      <c r="I26" s="2" t="s">
        <v>94</v>
      </c>
      <c r="J26" s="2" t="s">
        <v>41</v>
      </c>
      <c r="K26" s="2"/>
      <c r="L26" s="2" t="s">
        <v>212</v>
      </c>
      <c r="M26" s="2" t="s">
        <v>121</v>
      </c>
      <c r="N26" s="2"/>
      <c r="O26" s="2"/>
      <c r="P26" s="2" t="s">
        <v>62</v>
      </c>
      <c r="Q26" s="2" t="s">
        <v>62</v>
      </c>
      <c r="R26" s="2" t="s">
        <v>213</v>
      </c>
      <c r="S26" s="2" t="s">
        <v>214</v>
      </c>
      <c r="T26" s="2" t="s">
        <v>215</v>
      </c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 t="s">
        <v>216</v>
      </c>
    </row>
    <row r="27" customFormat="false" ht="35.05" hidden="false" customHeight="false" outlineLevel="0" collapsed="false">
      <c r="A27" s="2" t="s">
        <v>217</v>
      </c>
      <c r="B27" s="3" t="s">
        <v>35</v>
      </c>
      <c r="C27" s="2" t="s">
        <v>144</v>
      </c>
      <c r="D27" s="2"/>
      <c r="E27" s="2"/>
      <c r="F27" s="2" t="s">
        <v>38</v>
      </c>
      <c r="G27" s="2" t="s">
        <v>218</v>
      </c>
      <c r="H27" s="2" t="s">
        <v>219</v>
      </c>
      <c r="I27" s="2" t="s">
        <v>85</v>
      </c>
      <c r="J27" s="2" t="s">
        <v>41</v>
      </c>
      <c r="K27" s="2"/>
      <c r="L27" s="2"/>
      <c r="M27" s="2" t="s">
        <v>220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 t="n">
        <v>650</v>
      </c>
      <c r="AA27" s="2" t="s">
        <v>221</v>
      </c>
      <c r="AB27" s="2"/>
      <c r="AC27" s="2"/>
      <c r="AD27" s="2"/>
      <c r="AE27" s="2"/>
      <c r="AF27" s="2"/>
      <c r="AG27" s="2"/>
      <c r="AH27" s="2" t="s">
        <v>222</v>
      </c>
    </row>
    <row r="28" customFormat="false" ht="23.85" hidden="false" customHeight="false" outlineLevel="0" collapsed="false">
      <c r="A28" s="2" t="s">
        <v>223</v>
      </c>
      <c r="B28" s="3" t="s">
        <v>35</v>
      </c>
      <c r="C28" s="2" t="s">
        <v>54</v>
      </c>
      <c r="D28" s="2" t="n">
        <v>2015</v>
      </c>
      <c r="E28" s="2" t="s">
        <v>83</v>
      </c>
      <c r="F28" s="2" t="s">
        <v>38</v>
      </c>
      <c r="G28" s="2" t="s">
        <v>224</v>
      </c>
      <c r="H28" s="2" t="s">
        <v>225</v>
      </c>
      <c r="I28" s="2" t="s">
        <v>133</v>
      </c>
      <c r="J28" s="2" t="s">
        <v>41</v>
      </c>
      <c r="K28" s="2"/>
      <c r="L28" s="2"/>
      <c r="M28" s="2" t="s">
        <v>226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 t="s">
        <v>49</v>
      </c>
      <c r="Z28" s="2"/>
      <c r="AA28" s="2"/>
      <c r="AB28" s="2"/>
      <c r="AC28" s="2"/>
      <c r="AD28" s="2"/>
      <c r="AE28" s="2"/>
      <c r="AF28" s="2"/>
      <c r="AG28" s="2"/>
      <c r="AH28" s="2" t="s">
        <v>227</v>
      </c>
    </row>
    <row r="29" customFormat="false" ht="23.85" hidden="false" customHeight="false" outlineLevel="0" collapsed="false">
      <c r="A29" s="2" t="s">
        <v>228</v>
      </c>
      <c r="B29" s="3" t="s">
        <v>35</v>
      </c>
      <c r="C29" s="2" t="s">
        <v>144</v>
      </c>
      <c r="D29" s="2"/>
      <c r="E29" s="2" t="s">
        <v>83</v>
      </c>
      <c r="F29" s="2" t="s">
        <v>38</v>
      </c>
      <c r="G29" s="2" t="s">
        <v>38</v>
      </c>
      <c r="H29" s="2" t="s">
        <v>229</v>
      </c>
      <c r="I29" s="2" t="s">
        <v>230</v>
      </c>
      <c r="J29" s="2" t="s">
        <v>41</v>
      </c>
      <c r="K29" s="2"/>
      <c r="L29" s="2"/>
      <c r="M29" s="2" t="s">
        <v>231</v>
      </c>
      <c r="N29" s="2" t="s">
        <v>232</v>
      </c>
      <c r="O29" s="2"/>
      <c r="P29" s="2" t="s">
        <v>89</v>
      </c>
      <c r="Q29" s="2"/>
      <c r="R29" s="2" t="s">
        <v>98</v>
      </c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 t="s">
        <v>233</v>
      </c>
    </row>
    <row r="30" customFormat="false" ht="15" hidden="false" customHeight="false" outlineLevel="0" collapsed="false">
      <c r="A30" s="2" t="s">
        <v>234</v>
      </c>
      <c r="B30" s="3" t="s">
        <v>35</v>
      </c>
      <c r="C30" s="2" t="s">
        <v>36</v>
      </c>
      <c r="D30" s="2"/>
      <c r="E30" s="2" t="s">
        <v>74</v>
      </c>
      <c r="F30" s="2" t="s">
        <v>38</v>
      </c>
      <c r="G30" s="2" t="s">
        <v>38</v>
      </c>
      <c r="H30" s="2" t="s">
        <v>235</v>
      </c>
      <c r="I30" s="2" t="s">
        <v>236</v>
      </c>
      <c r="J30" s="2" t="s">
        <v>41</v>
      </c>
      <c r="K30" s="2"/>
      <c r="L30" s="2"/>
      <c r="M30" s="2" t="s">
        <v>74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 t="s">
        <v>49</v>
      </c>
      <c r="Z30" s="2"/>
      <c r="AA30" s="2"/>
      <c r="AB30" s="2"/>
      <c r="AC30" s="2"/>
      <c r="AD30" s="2"/>
      <c r="AE30" s="2"/>
      <c r="AF30" s="2"/>
      <c r="AG30" s="2"/>
      <c r="AH30" s="2" t="s">
        <v>237</v>
      </c>
    </row>
    <row r="31" customFormat="false" ht="23.85" hidden="false" customHeight="false" outlineLevel="0" collapsed="false">
      <c r="A31" s="2" t="s">
        <v>238</v>
      </c>
      <c r="B31" s="3" t="s">
        <v>35</v>
      </c>
      <c r="C31" s="2" t="s">
        <v>36</v>
      </c>
      <c r="D31" s="2" t="n">
        <v>2015</v>
      </c>
      <c r="E31" s="2" t="s">
        <v>239</v>
      </c>
      <c r="F31" s="2" t="s">
        <v>38</v>
      </c>
      <c r="G31" s="2" t="s">
        <v>38</v>
      </c>
      <c r="H31" s="2" t="s">
        <v>240</v>
      </c>
      <c r="I31" s="2" t="s">
        <v>94</v>
      </c>
      <c r="J31" s="2" t="s">
        <v>41</v>
      </c>
      <c r="K31" s="2"/>
      <c r="L31" s="2" t="s">
        <v>241</v>
      </c>
      <c r="M31" s="2" t="s">
        <v>242</v>
      </c>
      <c r="N31" s="2" t="s">
        <v>243</v>
      </c>
      <c r="O31" s="2" t="s">
        <v>244</v>
      </c>
      <c r="P31" s="2" t="s">
        <v>89</v>
      </c>
      <c r="Q31" s="2"/>
      <c r="R31" s="2" t="s">
        <v>98</v>
      </c>
      <c r="S31" s="2" t="s">
        <v>245</v>
      </c>
      <c r="T31" s="2" t="s">
        <v>246</v>
      </c>
      <c r="U31" s="2" t="s">
        <v>247</v>
      </c>
      <c r="V31" s="2" t="s">
        <v>247</v>
      </c>
      <c r="W31" s="2" t="s">
        <v>248</v>
      </c>
      <c r="X31" s="2"/>
      <c r="Y31" s="2"/>
      <c r="Z31" s="2"/>
      <c r="AA31" s="2"/>
      <c r="AB31" s="2"/>
      <c r="AC31" s="2"/>
      <c r="AD31" s="2" t="n">
        <v>3</v>
      </c>
      <c r="AE31" s="2"/>
      <c r="AF31" s="2"/>
      <c r="AG31" s="2" t="s">
        <v>249</v>
      </c>
      <c r="AH31" s="2" t="s">
        <v>250</v>
      </c>
    </row>
    <row r="32" customFormat="false" ht="23.85" hidden="false" customHeight="false" outlineLevel="0" collapsed="false">
      <c r="A32" s="2" t="s">
        <v>251</v>
      </c>
      <c r="B32" s="3" t="s">
        <v>35</v>
      </c>
      <c r="C32" s="2" t="s">
        <v>54</v>
      </c>
      <c r="D32" s="2"/>
      <c r="E32" s="2"/>
      <c r="F32" s="2" t="s">
        <v>38</v>
      </c>
      <c r="G32" s="2" t="s">
        <v>75</v>
      </c>
      <c r="H32" s="2" t="s">
        <v>252</v>
      </c>
      <c r="I32" s="2" t="s">
        <v>85</v>
      </c>
      <c r="J32" s="2" t="s">
        <v>41</v>
      </c>
      <c r="K32" s="2"/>
      <c r="L32" s="2" t="s">
        <v>253</v>
      </c>
      <c r="M32" s="2" t="s">
        <v>254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 t="s">
        <v>255</v>
      </c>
    </row>
    <row r="33" customFormat="false" ht="23.85" hidden="false" customHeight="false" outlineLevel="0" collapsed="false">
      <c r="A33" s="2" t="s">
        <v>256</v>
      </c>
      <c r="B33" s="3" t="s">
        <v>35</v>
      </c>
      <c r="C33" s="2" t="s">
        <v>144</v>
      </c>
      <c r="D33" s="2"/>
      <c r="E33" s="2"/>
      <c r="F33" s="2" t="s">
        <v>38</v>
      </c>
      <c r="G33" s="2" t="s">
        <v>75</v>
      </c>
      <c r="H33" s="2" t="s">
        <v>257</v>
      </c>
      <c r="I33" s="2" t="s">
        <v>85</v>
      </c>
      <c r="J33" s="2" t="s">
        <v>41</v>
      </c>
      <c r="K33" s="2"/>
      <c r="L33" s="2"/>
      <c r="M33" s="2" t="s">
        <v>258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customFormat="false" ht="15" hidden="false" customHeight="false" outlineLevel="0" collapsed="false">
      <c r="A34" s="2" t="s">
        <v>259</v>
      </c>
      <c r="B34" s="3" t="s">
        <v>35</v>
      </c>
      <c r="C34" s="2" t="s">
        <v>54</v>
      </c>
      <c r="D34" s="2" t="n">
        <v>2020</v>
      </c>
      <c r="E34" s="2" t="s">
        <v>260</v>
      </c>
      <c r="F34" s="2" t="s">
        <v>38</v>
      </c>
      <c r="G34" s="2" t="s">
        <v>38</v>
      </c>
      <c r="H34" s="2" t="s">
        <v>261</v>
      </c>
      <c r="I34" s="2" t="s">
        <v>153</v>
      </c>
      <c r="J34" s="2" t="s">
        <v>41</v>
      </c>
      <c r="K34" s="2" t="n">
        <v>3650</v>
      </c>
      <c r="L34" s="2" t="s">
        <v>262</v>
      </c>
      <c r="M34" s="2" t="s">
        <v>263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 t="s">
        <v>264</v>
      </c>
    </row>
    <row r="35" customFormat="false" ht="15" hidden="false" customHeight="false" outlineLevel="0" collapsed="false">
      <c r="A35" s="2" t="s">
        <v>265</v>
      </c>
      <c r="B35" s="3" t="s">
        <v>35</v>
      </c>
      <c r="C35" s="2" t="s">
        <v>144</v>
      </c>
      <c r="D35" s="2"/>
      <c r="E35" s="2" t="s">
        <v>74</v>
      </c>
      <c r="F35" s="2" t="s">
        <v>38</v>
      </c>
      <c r="G35" s="2" t="s">
        <v>38</v>
      </c>
      <c r="H35" s="2" t="s">
        <v>74</v>
      </c>
      <c r="I35" s="2" t="s">
        <v>85</v>
      </c>
      <c r="J35" s="2" t="s">
        <v>41</v>
      </c>
      <c r="K35" s="2"/>
      <c r="L35" s="2"/>
      <c r="M35" s="2" t="s">
        <v>266</v>
      </c>
      <c r="N35" s="2"/>
      <c r="O35" s="2"/>
      <c r="P35" s="2" t="s">
        <v>267</v>
      </c>
      <c r="Q35" s="2"/>
      <c r="R35" s="2"/>
      <c r="S35" s="2"/>
      <c r="T35" s="2"/>
      <c r="U35" s="2"/>
      <c r="V35" s="2"/>
      <c r="W35" s="2"/>
      <c r="X35" s="2" t="s">
        <v>268</v>
      </c>
      <c r="Y35" s="2" t="s">
        <v>49</v>
      </c>
      <c r="Z35" s="2"/>
      <c r="AA35" s="2"/>
      <c r="AB35" s="2"/>
      <c r="AC35" s="2"/>
      <c r="AD35" s="2"/>
      <c r="AE35" s="2"/>
      <c r="AF35" s="2"/>
      <c r="AG35" s="2"/>
      <c r="AH35" s="2" t="s">
        <v>269</v>
      </c>
    </row>
    <row r="36" customFormat="false" ht="23.85" hidden="false" customHeight="false" outlineLevel="0" collapsed="false">
      <c r="A36" s="2" t="s">
        <v>270</v>
      </c>
      <c r="B36" s="3" t="s">
        <v>35</v>
      </c>
      <c r="C36" s="2" t="s">
        <v>54</v>
      </c>
      <c r="D36" s="2" t="n">
        <v>1990</v>
      </c>
      <c r="E36" s="2" t="s">
        <v>271</v>
      </c>
      <c r="F36" s="2" t="s">
        <v>151</v>
      </c>
      <c r="G36" s="2" t="s">
        <v>151</v>
      </c>
      <c r="H36" s="2" t="s">
        <v>272</v>
      </c>
      <c r="I36" s="2" t="s">
        <v>85</v>
      </c>
      <c r="J36" s="2" t="s">
        <v>41</v>
      </c>
      <c r="K36" s="2"/>
      <c r="L36" s="2"/>
      <c r="M36" s="2" t="s">
        <v>271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 t="s">
        <v>273</v>
      </c>
    </row>
    <row r="37" customFormat="false" ht="23.85" hidden="false" customHeight="false" outlineLevel="0" collapsed="false">
      <c r="A37" s="2" t="s">
        <v>274</v>
      </c>
      <c r="B37" s="3" t="s">
        <v>35</v>
      </c>
      <c r="C37" s="2" t="s">
        <v>144</v>
      </c>
      <c r="D37" s="2"/>
      <c r="E37" s="2" t="s">
        <v>150</v>
      </c>
      <c r="F37" s="2" t="s">
        <v>151</v>
      </c>
      <c r="G37" s="2" t="s">
        <v>275</v>
      </c>
      <c r="H37" s="2" t="s">
        <v>276</v>
      </c>
      <c r="I37" s="2" t="s">
        <v>94</v>
      </c>
      <c r="J37" s="2" t="s">
        <v>41</v>
      </c>
      <c r="K37" s="2"/>
      <c r="L37" s="2"/>
      <c r="M37" s="2" t="s">
        <v>277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customFormat="false" ht="23.85" hidden="false" customHeight="false" outlineLevel="0" collapsed="false">
      <c r="A38" s="2" t="s">
        <v>278</v>
      </c>
      <c r="B38" s="3" t="s">
        <v>35</v>
      </c>
      <c r="C38" s="2" t="s">
        <v>144</v>
      </c>
      <c r="D38" s="2"/>
      <c r="E38" s="2" t="s">
        <v>279</v>
      </c>
      <c r="F38" s="2" t="s">
        <v>151</v>
      </c>
      <c r="G38" s="2" t="s">
        <v>151</v>
      </c>
      <c r="H38" s="2" t="s">
        <v>280</v>
      </c>
      <c r="I38" s="2" t="s">
        <v>85</v>
      </c>
      <c r="J38" s="2" t="s">
        <v>41</v>
      </c>
      <c r="K38" s="2"/>
      <c r="L38" s="2"/>
      <c r="M38" s="2" t="s">
        <v>281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 t="s">
        <v>282</v>
      </c>
    </row>
    <row r="39" customFormat="false" ht="15" hidden="false" customHeight="false" outlineLevel="0" collapsed="false">
      <c r="A39" s="2" t="s">
        <v>283</v>
      </c>
      <c r="B39" s="3" t="s">
        <v>35</v>
      </c>
      <c r="C39" s="2" t="s">
        <v>144</v>
      </c>
      <c r="D39" s="2"/>
      <c r="E39" s="2"/>
      <c r="F39" s="2" t="s">
        <v>151</v>
      </c>
      <c r="G39" s="2" t="s">
        <v>151</v>
      </c>
      <c r="H39" s="2" t="s">
        <v>151</v>
      </c>
      <c r="I39" s="2" t="s">
        <v>85</v>
      </c>
      <c r="J39" s="2" t="s">
        <v>41</v>
      </c>
      <c r="K39" s="2"/>
      <c r="L39" s="2"/>
      <c r="M39" s="2" t="s">
        <v>284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 t="s">
        <v>285</v>
      </c>
    </row>
    <row r="40" customFormat="false" ht="15" hidden="false" customHeight="false" outlineLevel="0" collapsed="false">
      <c r="A40" s="2" t="s">
        <v>286</v>
      </c>
      <c r="B40" s="3" t="s">
        <v>35</v>
      </c>
      <c r="C40" s="2" t="s">
        <v>124</v>
      </c>
      <c r="D40" s="2"/>
      <c r="E40" s="2" t="s">
        <v>287</v>
      </c>
      <c r="F40" s="2" t="s">
        <v>151</v>
      </c>
      <c r="G40" s="2" t="s">
        <v>75</v>
      </c>
      <c r="H40" s="2" t="s">
        <v>288</v>
      </c>
      <c r="I40" s="2" t="s">
        <v>94</v>
      </c>
      <c r="J40" s="2" t="s">
        <v>41</v>
      </c>
      <c r="K40" s="2"/>
      <c r="L40" s="2"/>
      <c r="M40" s="2" t="s">
        <v>289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 t="s">
        <v>124</v>
      </c>
    </row>
    <row r="41" customFormat="false" ht="57.45" hidden="false" customHeight="false" outlineLevel="0" collapsed="false">
      <c r="A41" s="2" t="s">
        <v>290</v>
      </c>
      <c r="B41" s="3" t="s">
        <v>35</v>
      </c>
      <c r="C41" s="2" t="s">
        <v>291</v>
      </c>
      <c r="D41" s="2" t="n">
        <v>2014</v>
      </c>
      <c r="E41" s="2"/>
      <c r="F41" s="2" t="s">
        <v>38</v>
      </c>
      <c r="G41" s="2" t="s">
        <v>292</v>
      </c>
      <c r="H41" s="2" t="s">
        <v>293</v>
      </c>
      <c r="I41" s="2" t="s">
        <v>85</v>
      </c>
      <c r="J41" s="2" t="s">
        <v>41</v>
      </c>
      <c r="K41" s="2"/>
      <c r="L41" s="2"/>
      <c r="M41" s="2" t="s">
        <v>254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 t="s">
        <v>294</v>
      </c>
      <c r="AH41" s="2"/>
      <c r="AI41" s="2" t="s">
        <v>295</v>
      </c>
    </row>
    <row r="42" customFormat="false" ht="23.85" hidden="false" customHeight="false" outlineLevel="0" collapsed="false">
      <c r="A42" s="2" t="s">
        <v>296</v>
      </c>
      <c r="B42" s="4" t="s">
        <v>110</v>
      </c>
      <c r="C42" s="2" t="s">
        <v>297</v>
      </c>
      <c r="D42" s="2" t="n">
        <v>2011</v>
      </c>
      <c r="E42" s="2" t="s">
        <v>74</v>
      </c>
      <c r="F42" s="2" t="s">
        <v>38</v>
      </c>
      <c r="G42" s="2" t="s">
        <v>298</v>
      </c>
      <c r="H42" s="2" t="s">
        <v>299</v>
      </c>
      <c r="I42" s="2" t="s">
        <v>300</v>
      </c>
      <c r="J42" s="2" t="s">
        <v>49</v>
      </c>
      <c r="K42" s="2"/>
      <c r="L42" s="2"/>
      <c r="M42" s="2" t="s">
        <v>74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 t="s">
        <v>301</v>
      </c>
      <c r="AH42" s="2" t="s">
        <v>302</v>
      </c>
    </row>
    <row r="43" customFormat="false" ht="23.85" hidden="false" customHeight="false" outlineLevel="0" collapsed="false">
      <c r="A43" s="2" t="s">
        <v>303</v>
      </c>
      <c r="B43" s="3" t="s">
        <v>35</v>
      </c>
      <c r="C43" s="2" t="s">
        <v>36</v>
      </c>
      <c r="D43" s="2"/>
      <c r="E43" s="2" t="s">
        <v>37</v>
      </c>
      <c r="F43" s="2" t="s">
        <v>38</v>
      </c>
      <c r="G43" s="2" t="s">
        <v>38</v>
      </c>
      <c r="H43" s="2" t="s">
        <v>39</v>
      </c>
      <c r="I43" s="2" t="s">
        <v>304</v>
      </c>
      <c r="J43" s="2" t="s">
        <v>41</v>
      </c>
      <c r="K43" s="2"/>
      <c r="L43" s="2"/>
      <c r="M43" s="2" t="s">
        <v>305</v>
      </c>
      <c r="N43" s="2" t="s">
        <v>306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customFormat="false" ht="23.85" hidden="false" customHeight="false" outlineLevel="0" collapsed="false">
      <c r="A44" s="2" t="s">
        <v>307</v>
      </c>
      <c r="B44" s="4" t="s">
        <v>110</v>
      </c>
      <c r="C44" s="2" t="s">
        <v>308</v>
      </c>
      <c r="D44" s="2"/>
      <c r="E44" s="2" t="s">
        <v>309</v>
      </c>
      <c r="F44" s="2" t="s">
        <v>38</v>
      </c>
      <c r="G44" s="2" t="s">
        <v>38</v>
      </c>
      <c r="H44" s="2" t="s">
        <v>39</v>
      </c>
      <c r="I44" s="2" t="s">
        <v>85</v>
      </c>
      <c r="J44" s="2" t="s">
        <v>41</v>
      </c>
      <c r="K44" s="2"/>
      <c r="L44" s="2"/>
      <c r="M44" s="2" t="s">
        <v>310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 t="s">
        <v>311</v>
      </c>
      <c r="AH44" s="2" t="s">
        <v>312</v>
      </c>
    </row>
    <row r="45" customFormat="false" ht="15" hidden="false" customHeight="false" outlineLevel="0" collapsed="false">
      <c r="A45" s="2" t="s">
        <v>313</v>
      </c>
      <c r="B45" s="3" t="s">
        <v>35</v>
      </c>
      <c r="C45" s="2" t="s">
        <v>54</v>
      </c>
      <c r="D45" s="2"/>
      <c r="E45" s="2" t="s">
        <v>74</v>
      </c>
      <c r="F45" s="2" t="s">
        <v>38</v>
      </c>
      <c r="G45" s="2" t="s">
        <v>38</v>
      </c>
      <c r="H45" s="2" t="s">
        <v>74</v>
      </c>
      <c r="I45" s="2" t="s">
        <v>85</v>
      </c>
      <c r="J45" s="2" t="s">
        <v>41</v>
      </c>
      <c r="K45" s="2"/>
      <c r="L45" s="2"/>
      <c r="M45" s="2" t="s">
        <v>74</v>
      </c>
      <c r="N45" s="2"/>
      <c r="O45" s="2"/>
      <c r="P45" s="2"/>
      <c r="Q45" s="2"/>
      <c r="R45" s="2" t="s">
        <v>98</v>
      </c>
      <c r="S45" s="2"/>
      <c r="T45" s="2" t="s">
        <v>314</v>
      </c>
      <c r="U45" s="2" t="s">
        <v>315</v>
      </c>
      <c r="V45" s="2" t="s">
        <v>247</v>
      </c>
      <c r="W45" s="2" t="s">
        <v>248</v>
      </c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 t="s">
        <v>316</v>
      </c>
    </row>
    <row r="46" customFormat="false" ht="23.85" hidden="false" customHeight="false" outlineLevel="0" collapsed="false">
      <c r="A46" s="2" t="s">
        <v>317</v>
      </c>
      <c r="B46" s="3" t="s">
        <v>35</v>
      </c>
      <c r="C46" s="2" t="s">
        <v>144</v>
      </c>
      <c r="D46" s="2"/>
      <c r="E46" s="2" t="s">
        <v>74</v>
      </c>
      <c r="F46" s="2" t="s">
        <v>38</v>
      </c>
      <c r="G46" s="2" t="s">
        <v>38</v>
      </c>
      <c r="H46" s="2" t="s">
        <v>201</v>
      </c>
      <c r="I46" s="2" t="s">
        <v>318</v>
      </c>
      <c r="J46" s="2" t="s">
        <v>41</v>
      </c>
      <c r="K46" s="2"/>
      <c r="L46" s="2"/>
      <c r="M46" s="2" t="s">
        <v>74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customFormat="false" ht="23.85" hidden="false" customHeight="false" outlineLevel="0" collapsed="false">
      <c r="A47" s="2" t="s">
        <v>319</v>
      </c>
      <c r="B47" s="4" t="s">
        <v>110</v>
      </c>
      <c r="C47" s="2" t="s">
        <v>308</v>
      </c>
      <c r="D47" s="2"/>
      <c r="E47" s="2" t="s">
        <v>74</v>
      </c>
      <c r="F47" s="2" t="s">
        <v>38</v>
      </c>
      <c r="G47" s="2" t="s">
        <v>38</v>
      </c>
      <c r="H47" s="2" t="s">
        <v>320</v>
      </c>
      <c r="I47" s="2" t="s">
        <v>133</v>
      </c>
      <c r="J47" s="2" t="s">
        <v>195</v>
      </c>
      <c r="K47" s="2"/>
      <c r="L47" s="2"/>
      <c r="M47" s="2" t="s">
        <v>320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 t="s">
        <v>321</v>
      </c>
      <c r="AH47" s="2"/>
    </row>
    <row r="48" customFormat="false" ht="15" hidden="false" customHeight="false" outlineLevel="0" collapsed="false">
      <c r="A48" s="2" t="s">
        <v>322</v>
      </c>
      <c r="B48" s="4" t="s">
        <v>110</v>
      </c>
      <c r="C48" s="2" t="s">
        <v>308</v>
      </c>
      <c r="D48" s="2"/>
      <c r="E48" s="2" t="s">
        <v>74</v>
      </c>
      <c r="F48" s="2" t="s">
        <v>38</v>
      </c>
      <c r="G48" s="2" t="s">
        <v>38</v>
      </c>
      <c r="H48" s="2" t="s">
        <v>74</v>
      </c>
      <c r="I48" s="2" t="s">
        <v>85</v>
      </c>
      <c r="J48" s="2" t="s">
        <v>41</v>
      </c>
      <c r="K48" s="2"/>
      <c r="L48" s="2"/>
      <c r="M48" s="2" t="s">
        <v>323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 t="s">
        <v>324</v>
      </c>
      <c r="AH48" s="2" t="s">
        <v>325</v>
      </c>
    </row>
    <row r="49" customFormat="false" ht="23.85" hidden="false" customHeight="false" outlineLevel="0" collapsed="false">
      <c r="A49" s="2" t="s">
        <v>326</v>
      </c>
      <c r="B49" s="3" t="s">
        <v>35</v>
      </c>
      <c r="C49" s="2" t="s">
        <v>54</v>
      </c>
      <c r="D49" s="2"/>
      <c r="E49" s="2"/>
      <c r="F49" s="2" t="s">
        <v>38</v>
      </c>
      <c r="G49" s="2" t="s">
        <v>75</v>
      </c>
      <c r="H49" s="2" t="s">
        <v>220</v>
      </c>
      <c r="I49" s="2" t="s">
        <v>85</v>
      </c>
      <c r="J49" s="2" t="s">
        <v>41</v>
      </c>
      <c r="K49" s="2"/>
      <c r="L49" s="2"/>
      <c r="M49" s="2" t="s">
        <v>220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 t="s">
        <v>327</v>
      </c>
    </row>
    <row r="50" customFormat="false" ht="23.85" hidden="false" customHeight="false" outlineLevel="0" collapsed="false">
      <c r="A50" s="2" t="s">
        <v>328</v>
      </c>
      <c r="B50" s="5" t="s">
        <v>329</v>
      </c>
      <c r="C50" s="2" t="s">
        <v>330</v>
      </c>
      <c r="D50" s="2"/>
      <c r="E50" s="2" t="s">
        <v>331</v>
      </c>
      <c r="F50" s="2" t="s">
        <v>151</v>
      </c>
      <c r="G50" s="2" t="s">
        <v>332</v>
      </c>
      <c r="H50" s="2" t="s">
        <v>333</v>
      </c>
      <c r="I50" s="2" t="s">
        <v>334</v>
      </c>
      <c r="J50" s="2" t="s">
        <v>41</v>
      </c>
      <c r="K50" s="2"/>
      <c r="L50" s="2"/>
      <c r="M50" s="2" t="s">
        <v>335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 t="s">
        <v>336</v>
      </c>
      <c r="AH50" s="2" t="s">
        <v>337</v>
      </c>
    </row>
    <row r="51" customFormat="false" ht="23.85" hidden="false" customHeight="false" outlineLevel="0" collapsed="false">
      <c r="A51" s="2" t="s">
        <v>338</v>
      </c>
      <c r="B51" s="5" t="s">
        <v>329</v>
      </c>
      <c r="C51" s="2" t="s">
        <v>330</v>
      </c>
      <c r="D51" s="2"/>
      <c r="E51" s="2" t="s">
        <v>74</v>
      </c>
      <c r="F51" s="2" t="s">
        <v>38</v>
      </c>
      <c r="G51" s="2" t="s">
        <v>339</v>
      </c>
      <c r="H51" s="2" t="s">
        <v>340</v>
      </c>
      <c r="I51" s="2" t="s">
        <v>85</v>
      </c>
      <c r="J51" s="2" t="s">
        <v>41</v>
      </c>
      <c r="K51" s="2"/>
      <c r="L51" s="2"/>
      <c r="M51" s="2" t="s">
        <v>341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 t="s">
        <v>342</v>
      </c>
    </row>
    <row r="52" customFormat="false" ht="15" hidden="false" customHeight="false" outlineLevel="0" collapsed="false">
      <c r="A52" s="2" t="s">
        <v>343</v>
      </c>
      <c r="B52" s="4" t="s">
        <v>110</v>
      </c>
      <c r="C52" s="2" t="s">
        <v>308</v>
      </c>
      <c r="D52" s="2"/>
      <c r="E52" s="2"/>
      <c r="F52" s="2" t="s">
        <v>151</v>
      </c>
      <c r="G52" s="2" t="s">
        <v>75</v>
      </c>
      <c r="H52" s="2" t="s">
        <v>344</v>
      </c>
      <c r="I52" s="2" t="s">
        <v>345</v>
      </c>
      <c r="J52" s="2" t="s">
        <v>49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 t="s">
        <v>346</v>
      </c>
      <c r="AH52" s="2" t="s">
        <v>347</v>
      </c>
    </row>
    <row r="53" customFormat="false" ht="15" hidden="false" customHeight="false" outlineLevel="0" collapsed="false">
      <c r="A53" s="2" t="s">
        <v>348</v>
      </c>
      <c r="B53" s="4" t="s">
        <v>110</v>
      </c>
      <c r="C53" s="2" t="s">
        <v>349</v>
      </c>
      <c r="D53" s="2"/>
      <c r="E53" s="2" t="s">
        <v>83</v>
      </c>
      <c r="F53" s="2" t="s">
        <v>38</v>
      </c>
      <c r="G53" s="2" t="s">
        <v>38</v>
      </c>
      <c r="H53" s="2" t="s">
        <v>56</v>
      </c>
      <c r="I53" s="2" t="s">
        <v>350</v>
      </c>
      <c r="J53" s="2" t="s">
        <v>49</v>
      </c>
      <c r="K53" s="2"/>
      <c r="L53" s="2"/>
      <c r="M53" s="2" t="s">
        <v>83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 t="s">
        <v>351</v>
      </c>
      <c r="AH53" s="2" t="s">
        <v>352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4"/>
    <col collapsed="false" customWidth="true" hidden="false" outlineLevel="0" max="3" min="3" style="0" width="50"/>
    <col collapsed="false" customWidth="true" hidden="false" outlineLevel="0" max="4" min="4" style="0" width="30"/>
    <col collapsed="false" customWidth="true" hidden="false" outlineLevel="0" max="5" min="5" style="0" width="50"/>
  </cols>
  <sheetData>
    <row r="1" customFormat="false" ht="31.5" hidden="false" customHeight="true" outlineLevel="0" collapsed="false">
      <c r="A1" s="1" t="s">
        <v>353</v>
      </c>
      <c r="B1" s="1" t="s">
        <v>354</v>
      </c>
      <c r="C1" s="1" t="s">
        <v>355</v>
      </c>
      <c r="D1" s="1" t="s">
        <v>356</v>
      </c>
      <c r="E1" s="1" t="s">
        <v>33</v>
      </c>
    </row>
    <row r="2" customFormat="false" ht="23.85" hidden="false" customHeight="false" outlineLevel="0" collapsed="false">
      <c r="A2" s="2" t="s">
        <v>357</v>
      </c>
      <c r="B2" s="2" t="s">
        <v>358</v>
      </c>
      <c r="C2" s="2" t="s">
        <v>359</v>
      </c>
      <c r="D2" s="2" t="s">
        <v>360</v>
      </c>
      <c r="E2" s="2" t="s">
        <v>361</v>
      </c>
    </row>
    <row r="3" customFormat="false" ht="15" hidden="false" customHeight="false" outlineLevel="0" collapsed="false">
      <c r="A3" s="2" t="s">
        <v>362</v>
      </c>
      <c r="B3" s="2" t="s">
        <v>363</v>
      </c>
      <c r="C3" s="2" t="s">
        <v>364</v>
      </c>
      <c r="D3" s="2" t="s">
        <v>365</v>
      </c>
      <c r="E3" s="2"/>
    </row>
    <row r="4" customFormat="false" ht="15" hidden="false" customHeight="false" outlineLevel="0" collapsed="false">
      <c r="A4" s="2" t="s">
        <v>366</v>
      </c>
      <c r="B4" s="2" t="s">
        <v>367</v>
      </c>
      <c r="C4" s="2"/>
      <c r="D4" s="2" t="s">
        <v>368</v>
      </c>
      <c r="E4" s="2" t="s">
        <v>369</v>
      </c>
    </row>
    <row r="5" customFormat="false" ht="15" hidden="false" customHeight="false" outlineLevel="0" collapsed="false">
      <c r="A5" s="2" t="s">
        <v>370</v>
      </c>
      <c r="B5" s="2" t="s">
        <v>371</v>
      </c>
      <c r="C5" s="2" t="s">
        <v>372</v>
      </c>
      <c r="D5" s="2" t="s">
        <v>373</v>
      </c>
      <c r="E5" s="2"/>
    </row>
    <row r="6" customFormat="false" ht="15" hidden="false" customHeight="false" outlineLevel="0" collapsed="false">
      <c r="A6" s="2" t="s">
        <v>374</v>
      </c>
      <c r="B6" s="2" t="s">
        <v>371</v>
      </c>
      <c r="C6" s="2" t="s">
        <v>372</v>
      </c>
      <c r="D6" s="2" t="s">
        <v>373</v>
      </c>
      <c r="E6" s="2"/>
    </row>
    <row r="7" customFormat="false" ht="15" hidden="false" customHeight="false" outlineLevel="0" collapsed="false">
      <c r="A7" s="2" t="s">
        <v>375</v>
      </c>
      <c r="B7" s="2" t="s">
        <v>371</v>
      </c>
      <c r="C7" s="2" t="s">
        <v>372</v>
      </c>
      <c r="D7" s="2" t="s">
        <v>373</v>
      </c>
      <c r="E7" s="2"/>
    </row>
    <row r="8" customFormat="false" ht="15" hidden="false" customHeight="false" outlineLevel="0" collapsed="false">
      <c r="A8" s="2" t="s">
        <v>376</v>
      </c>
      <c r="B8" s="2" t="s">
        <v>377</v>
      </c>
      <c r="C8" s="2" t="s">
        <v>378</v>
      </c>
      <c r="D8" s="2" t="s">
        <v>379</v>
      </c>
      <c r="E8" s="2"/>
    </row>
    <row r="9" customFormat="false" ht="15" hidden="false" customHeight="false" outlineLevel="0" collapsed="false">
      <c r="A9" s="2" t="s">
        <v>380</v>
      </c>
      <c r="B9" s="2" t="s">
        <v>381</v>
      </c>
      <c r="C9" s="2" t="s">
        <v>382</v>
      </c>
      <c r="D9" s="2" t="s">
        <v>383</v>
      </c>
      <c r="E9" s="2"/>
    </row>
    <row r="10" customFormat="false" ht="15" hidden="false" customHeight="false" outlineLevel="0" collapsed="false">
      <c r="A10" s="2" t="s">
        <v>384</v>
      </c>
      <c r="B10" s="2" t="s">
        <v>381</v>
      </c>
      <c r="C10" s="2" t="s">
        <v>385</v>
      </c>
      <c r="D10" s="2" t="s">
        <v>383</v>
      </c>
      <c r="E10" s="2"/>
    </row>
    <row r="11" customFormat="false" ht="15" hidden="false" customHeight="false" outlineLevel="0" collapsed="false">
      <c r="A11" s="2" t="s">
        <v>386</v>
      </c>
      <c r="B11" s="2" t="s">
        <v>387</v>
      </c>
      <c r="C11" s="2" t="s">
        <v>388</v>
      </c>
      <c r="D11" s="2" t="s">
        <v>365</v>
      </c>
      <c r="E11" s="2"/>
    </row>
    <row r="12" customFormat="false" ht="15" hidden="false" customHeight="false" outlineLevel="0" collapsed="false">
      <c r="A12" s="2" t="s">
        <v>389</v>
      </c>
      <c r="B12" s="2" t="s">
        <v>387</v>
      </c>
      <c r="C12" s="2" t="s">
        <v>390</v>
      </c>
      <c r="D12" s="2" t="s">
        <v>365</v>
      </c>
      <c r="E12" s="2"/>
    </row>
    <row r="13" customFormat="false" ht="15" hidden="false" customHeight="false" outlineLevel="0" collapsed="false">
      <c r="A13" s="2" t="s">
        <v>391</v>
      </c>
      <c r="B13" s="2" t="s">
        <v>377</v>
      </c>
      <c r="C13" s="2"/>
      <c r="D13" s="2" t="s">
        <v>365</v>
      </c>
      <c r="E13" s="2"/>
    </row>
    <row r="14" customFormat="false" ht="15" hidden="false" customHeight="false" outlineLevel="0" collapsed="false">
      <c r="A14" s="2" t="s">
        <v>392</v>
      </c>
      <c r="B14" s="2" t="s">
        <v>381</v>
      </c>
      <c r="C14" s="2" t="s">
        <v>393</v>
      </c>
      <c r="D14" s="2" t="s">
        <v>365</v>
      </c>
      <c r="E14" s="2"/>
    </row>
    <row r="15" customFormat="false" ht="15" hidden="false" customHeight="false" outlineLevel="0" collapsed="false">
      <c r="A15" s="2" t="s">
        <v>394</v>
      </c>
      <c r="B15" s="2" t="s">
        <v>371</v>
      </c>
      <c r="C15" s="2" t="s">
        <v>372</v>
      </c>
      <c r="D15" s="2" t="s">
        <v>365</v>
      </c>
      <c r="E15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  <col collapsed="false" customWidth="true" hidden="false" outlineLevel="0" max="3" min="3" style="0" width="4"/>
    <col collapsed="false" customWidth="true" hidden="false" outlineLevel="0" max="4" min="4" style="0" width="32"/>
    <col collapsed="false" customWidth="true" hidden="false" outlineLevel="0" max="5" min="5" style="0" width="20"/>
  </cols>
  <sheetData>
    <row r="1" customFormat="false" ht="17.35" hidden="false" customHeight="false" outlineLevel="0" collapsed="false">
      <c r="A1" s="6" t="s">
        <v>395</v>
      </c>
      <c r="D1" s="6" t="s">
        <v>396</v>
      </c>
    </row>
    <row r="3" customFormat="false" ht="15" hidden="false" customHeight="false" outlineLevel="0" collapsed="false">
      <c r="A3" s="7" t="s">
        <v>1</v>
      </c>
      <c r="B3" s="7" t="s">
        <v>397</v>
      </c>
      <c r="D3" s="7" t="s">
        <v>398</v>
      </c>
      <c r="E3" s="7" t="s">
        <v>399</v>
      </c>
    </row>
    <row r="4" customFormat="false" ht="15" hidden="false" customHeight="false" outlineLevel="0" collapsed="false">
      <c r="A4" s="0" t="s">
        <v>35</v>
      </c>
      <c r="B4" s="0" t="n">
        <f aca="false">COUNTIF('Independent Companies'!B:B,"Confirmed Independent")</f>
        <v>42</v>
      </c>
      <c r="D4" s="0" t="s">
        <v>62</v>
      </c>
      <c r="E4" s="0" t="n">
        <f aca="false">COUNTIF('Independent Companies'!P:P,"*AppFolio*")</f>
        <v>15</v>
      </c>
    </row>
    <row r="5" customFormat="false" ht="15" hidden="false" customHeight="false" outlineLevel="0" collapsed="false">
      <c r="A5" s="0" t="s">
        <v>110</v>
      </c>
      <c r="B5" s="0" t="n">
        <f aca="false">COUNTIF('Independent Companies'!B:B,"Flag-Review")</f>
        <v>8</v>
      </c>
      <c r="D5" s="0" t="s">
        <v>181</v>
      </c>
      <c r="E5" s="0" t="n">
        <f aca="false">COUNTIF('Independent Companies'!P:P,"*Buildium*")</f>
        <v>1</v>
      </c>
    </row>
    <row r="6" customFormat="false" ht="15" hidden="false" customHeight="false" outlineLevel="0" collapsed="false">
      <c r="A6" s="0" t="s">
        <v>329</v>
      </c>
      <c r="B6" s="0" t="n">
        <f aca="false">COUNTIF('Independent Companies'!B:B,"Independent Franchise")</f>
        <v>2</v>
      </c>
      <c r="D6" s="0" t="s">
        <v>400</v>
      </c>
      <c r="E6" s="0" t="n">
        <f aca="false">COUNTIF('Independent Companies'!P:P,"*Rentvine*")</f>
        <v>1</v>
      </c>
    </row>
    <row r="7" customFormat="false" ht="15" hidden="false" customHeight="false" outlineLevel="0" collapsed="false">
      <c r="A7" s="8" t="s">
        <v>401</v>
      </c>
      <c r="B7" s="8" t="n">
        <f aca="false">SUM(B4:B6)</f>
        <v>52</v>
      </c>
      <c r="D7" s="9" t="s">
        <v>402</v>
      </c>
      <c r="E7" s="9" t="n">
        <f aca="false">COUNTIF('Independent Companies'!P:P,"*Intellirent*")</f>
        <v>1</v>
      </c>
    </row>
    <row r="8" customFormat="false" ht="15" hidden="false" customHeight="false" outlineLevel="0" collapsed="false">
      <c r="D8" s="0" t="s">
        <v>403</v>
      </c>
      <c r="E8" s="0" t="n">
        <f aca="false">COUNTIF('Independent Companies'!P:P,"*Argus*")</f>
        <v>1</v>
      </c>
    </row>
    <row r="10" customFormat="false" ht="17.35" hidden="false" customHeight="false" outlineLevel="0" collapsed="false">
      <c r="A10" s="6" t="s">
        <v>404</v>
      </c>
    </row>
    <row r="11" customFormat="false" ht="17.35" hidden="false" customHeight="false" outlineLevel="0" collapsed="false">
      <c r="D11" s="6" t="s">
        <v>9</v>
      </c>
    </row>
    <row r="12" customFormat="false" ht="15" hidden="false" customHeight="false" outlineLevel="0" collapsed="false">
      <c r="A12" s="7" t="s">
        <v>405</v>
      </c>
      <c r="B12" s="7" t="s">
        <v>397</v>
      </c>
    </row>
    <row r="13" customFormat="false" ht="15" hidden="false" customHeight="false" outlineLevel="0" collapsed="false">
      <c r="A13" s="0" t="s">
        <v>38</v>
      </c>
      <c r="B13" s="0" t="n">
        <f aca="false">COUNTIF('Independent Companies'!F:F,"King")</f>
        <v>44</v>
      </c>
      <c r="D13" s="7" t="s">
        <v>406</v>
      </c>
      <c r="E13" s="7" t="s">
        <v>397</v>
      </c>
    </row>
    <row r="14" customFormat="false" ht="15" hidden="false" customHeight="false" outlineLevel="0" collapsed="false">
      <c r="A14" s="0" t="s">
        <v>151</v>
      </c>
      <c r="B14" s="0" t="n">
        <f aca="false">COUNTIF('Independent Companies'!F:F,"Snohomish")</f>
        <v>8</v>
      </c>
      <c r="D14" s="0" t="s">
        <v>41</v>
      </c>
      <c r="E14" s="0" t="n">
        <f aca="false">COUNTIF('Independent Companies'!J:J,"Yes")</f>
        <v>46</v>
      </c>
    </row>
    <row r="15" customFormat="false" ht="15" hidden="false" customHeight="false" outlineLevel="0" collapsed="false">
      <c r="D15" s="0" t="s">
        <v>49</v>
      </c>
      <c r="E15" s="0" t="n">
        <f aca="false">COUNTIF('Independent Companies'!J:J,"No")</f>
        <v>4</v>
      </c>
    </row>
    <row r="16" customFormat="false" ht="15" hidden="false" customHeight="false" outlineLevel="0" collapsed="false">
      <c r="D16" s="0" t="s">
        <v>195</v>
      </c>
      <c r="E16" s="0" t="n">
        <f aca="false">COUNTIF('Independent Companies'!J:J,"Mixed")</f>
        <v>2</v>
      </c>
    </row>
    <row r="17" customFormat="false" ht="17.35" hidden="false" customHeight="false" outlineLevel="0" collapsed="false">
      <c r="A17" s="6" t="s">
        <v>407</v>
      </c>
    </row>
    <row r="19" customFormat="false" ht="15" hidden="false" customHeight="false" outlineLevel="0" collapsed="false">
      <c r="A19" s="7" t="s">
        <v>2</v>
      </c>
      <c r="B19" s="7" t="s">
        <v>397</v>
      </c>
    </row>
    <row r="20" customFormat="false" ht="15" hidden="false" customHeight="false" outlineLevel="0" collapsed="false">
      <c r="A20" s="0" t="s">
        <v>36</v>
      </c>
      <c r="B20" s="0" t="n">
        <f aca="false">COUNTIF('Independent Companies'!C:C,"Family-Owned")</f>
        <v>7</v>
      </c>
    </row>
    <row r="21" customFormat="false" ht="15" hidden="false" customHeight="false" outlineLevel="0" collapsed="false">
      <c r="A21" s="0" t="s">
        <v>104</v>
      </c>
      <c r="B21" s="0" t="n">
        <f aca="false">COUNTIF('Independent Companies'!C:C,"Family-Owned (Women-led)")</f>
        <v>1</v>
      </c>
    </row>
    <row r="22" customFormat="false" ht="15" hidden="false" customHeight="false" outlineLevel="0" collapsed="false">
      <c r="A22" s="0" t="s">
        <v>168</v>
      </c>
      <c r="B22" s="0" t="n">
        <f aca="false">COUNTIF('Independent Companies'!C:C,"Family-Owned (large)")</f>
        <v>1</v>
      </c>
    </row>
    <row r="23" customFormat="false" ht="15" hidden="false" customHeight="false" outlineLevel="0" collapsed="false">
      <c r="A23" s="0" t="s">
        <v>349</v>
      </c>
      <c r="B23" s="0" t="n">
        <f aca="false">COUNTIF('Independent Companies'!C:C,"Family-Owned (multigen)")</f>
        <v>1</v>
      </c>
    </row>
    <row r="24" customFormat="false" ht="15" hidden="false" customHeight="false" outlineLevel="0" collapsed="false">
      <c r="A24" s="0" t="s">
        <v>54</v>
      </c>
      <c r="B24" s="0" t="n">
        <f aca="false">COUNTIF('Independent Companies'!C:C,"Founder-Owned")</f>
        <v>18</v>
      </c>
    </row>
    <row r="25" customFormat="false" ht="15" hidden="false" customHeight="false" outlineLevel="0" collapsed="false">
      <c r="A25" s="0" t="s">
        <v>111</v>
      </c>
      <c r="B25" s="0" t="n">
        <f aca="false">COUNTIF('Independent Companies'!C:C,"Founder-Owned (large)")</f>
        <v>1</v>
      </c>
    </row>
    <row r="26" customFormat="false" ht="15" hidden="false" customHeight="false" outlineLevel="0" collapsed="false">
      <c r="A26" s="0" t="s">
        <v>144</v>
      </c>
      <c r="B26" s="0" t="n">
        <f aca="false">COUNTIF('Independent Companies'!C:C,"Local-Indep")</f>
        <v>12</v>
      </c>
    </row>
    <row r="27" customFormat="false" ht="15" hidden="false" customHeight="false" outlineLevel="0" collapsed="false">
      <c r="A27" s="0" t="s">
        <v>291</v>
      </c>
      <c r="B27" s="0" t="n">
        <f aca="false">COUNTIF('Independent Companies'!C:C,"Local-Indep (Women-led)")</f>
        <v>1</v>
      </c>
    </row>
    <row r="28" customFormat="false" ht="15" hidden="false" customHeight="false" outlineLevel="0" collapsed="false">
      <c r="A28" s="0" t="s">
        <v>124</v>
      </c>
      <c r="B28" s="0" t="n">
        <f aca="false">COUNTIF('Independent Companies'!C:C,"Boutique")</f>
        <v>2</v>
      </c>
    </row>
    <row r="29" customFormat="false" ht="15" hidden="false" customHeight="false" outlineLevel="0" collapsed="false">
      <c r="A29" s="0" t="s">
        <v>330</v>
      </c>
      <c r="B29" s="0" t="n">
        <f aca="false">COUNTIF('Independent Companies'!C:C,"Indep Franchise (Windermere)")</f>
        <v>2</v>
      </c>
    </row>
    <row r="30" customFormat="false" ht="15" hidden="false" customHeight="false" outlineLevel="0" collapsed="false">
      <c r="A30" s="0" t="s">
        <v>297</v>
      </c>
      <c r="B30" s="0" t="n">
        <f aca="false">COUNTIF('Independent Companies'!C:C,"Institutional Origin")</f>
        <v>1</v>
      </c>
    </row>
    <row r="31" customFormat="false" ht="15" hidden="false" customHeight="false" outlineLevel="0" collapsed="false">
      <c r="A31" s="0" t="s">
        <v>308</v>
      </c>
      <c r="B31" s="0" t="n">
        <f aca="false">COUNTIF('Independent Companies'!C:C,"Unknown")</f>
        <v>4</v>
      </c>
    </row>
    <row r="32" customFormat="false" ht="15" hidden="false" customHeight="false" outlineLevel="0" collapsed="false">
      <c r="A32" s="0" t="s">
        <v>118</v>
      </c>
      <c r="B32" s="0" t="n">
        <f aca="false">COUNTIF('Independent Companies'!C:C,"Unknown-Local")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6" t="s">
        <v>408</v>
      </c>
    </row>
    <row r="2" customFormat="false" ht="15" hidden="false" customHeight="false" outlineLevel="0" collapsed="false">
      <c r="A2" s="10"/>
      <c r="B2" s="10"/>
    </row>
    <row r="3" customFormat="false" ht="15" hidden="false" customHeight="false" outlineLevel="0" collapsed="false">
      <c r="A3" s="8" t="s">
        <v>409</v>
      </c>
      <c r="B3" s="10" t="s">
        <v>410</v>
      </c>
    </row>
    <row r="4" customFormat="false" ht="15" hidden="false" customHeight="false" outlineLevel="0" collapsed="false">
      <c r="A4" s="8" t="s">
        <v>411</v>
      </c>
      <c r="B4" s="10" t="s">
        <v>412</v>
      </c>
    </row>
    <row r="5" customFormat="false" ht="15" hidden="false" customHeight="false" outlineLevel="0" collapsed="false">
      <c r="A5" s="8" t="s">
        <v>413</v>
      </c>
      <c r="B5" s="10" t="s">
        <v>414</v>
      </c>
    </row>
    <row r="6" customFormat="false" ht="15" hidden="false" customHeight="false" outlineLevel="0" collapsed="false">
      <c r="A6" s="10"/>
      <c r="B6" s="10"/>
    </row>
    <row r="7" customFormat="false" ht="15" hidden="false" customHeight="false" outlineLevel="0" collapsed="false">
      <c r="A7" s="8" t="s">
        <v>415</v>
      </c>
      <c r="B7" s="10" t="s">
        <v>416</v>
      </c>
    </row>
    <row r="8" customFormat="false" ht="15" hidden="false" customHeight="false" outlineLevel="0" collapsed="false">
      <c r="A8" s="8" t="s">
        <v>417</v>
      </c>
      <c r="B8" s="10" t="s">
        <v>418</v>
      </c>
    </row>
    <row r="9" customFormat="false" ht="15" hidden="false" customHeight="false" outlineLevel="0" collapsed="false">
      <c r="A9" s="8" t="s">
        <v>419</v>
      </c>
      <c r="B9" s="10" t="s">
        <v>420</v>
      </c>
    </row>
    <row r="10" customFormat="false" ht="15" hidden="false" customHeight="false" outlineLevel="0" collapsed="false">
      <c r="A10" s="10"/>
      <c r="B10" s="10"/>
    </row>
    <row r="11" customFormat="false" ht="15" hidden="false" customHeight="false" outlineLevel="0" collapsed="false">
      <c r="A11" s="8" t="s">
        <v>421</v>
      </c>
      <c r="B11" s="10" t="s">
        <v>422</v>
      </c>
    </row>
    <row r="12" customFormat="false" ht="15" hidden="false" customHeight="false" outlineLevel="0" collapsed="false">
      <c r="A12" s="8" t="s">
        <v>423</v>
      </c>
      <c r="B12" s="10" t="s">
        <v>424</v>
      </c>
    </row>
    <row r="13" customFormat="false" ht="15" hidden="false" customHeight="false" outlineLevel="0" collapsed="false">
      <c r="A13" s="8" t="s">
        <v>425</v>
      </c>
      <c r="B13" s="10" t="s">
        <v>426</v>
      </c>
    </row>
    <row r="14" customFormat="false" ht="15" hidden="false" customHeight="false" outlineLevel="0" collapsed="false">
      <c r="A14" s="8" t="s">
        <v>427</v>
      </c>
      <c r="B14" s="10" t="s">
        <v>428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2026-05-18T19:17:51Z</dcterms:created>
  <dc:creator>openpyxl</dc:creator>
  <dc:description/>
  <dc:language>en-US</dc:language>
  <cp:lastModifiedBy/>
  <dcterms:modified xsi:type="dcterms:W3CDTF">2026-05-18T19:17:51Z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