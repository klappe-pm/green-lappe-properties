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018306ea2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660e36647e742c7"/>
    <x:sheet xmlns:r="http://schemas.openxmlformats.org/officeDocument/2006/relationships" name="Assumptions" sheetId="2" r:id="R7ce7423d091f4194"/>
    <x:sheet xmlns:r="http://schemas.openxmlformats.org/officeDocument/2006/relationships" name="TAM SAM SOM" sheetId="3" r:id="Rfcbd6df947854051"/>
    <x:sheet xmlns:r="http://schemas.openxmlformats.org/officeDocument/2006/relationships" name="Operating Model" sheetId="4" r:id="R22a2332e48564f98"/>
    <x:sheet xmlns:r="http://schemas.openxmlformats.org/officeDocument/2006/relationships" name="Scenarios" sheetId="5" r:id="Ra084d46684fa410d"/>
    <x:sheet xmlns:r="http://schemas.openxmlformats.org/officeDocument/2006/relationships" name="Source Data" sheetId="6" r:id="R7dadb6fa5f0d4cb1"/>
    <x:sheet xmlns:r="http://schemas.openxmlformats.org/officeDocument/2006/relationships" name="Checks" sheetId="7" r:id="R76da2ba3541d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;[Red]($#,##0);-"/>
    <x:numFmt numFmtId="201" formatCode="0.0%;[Red](0.0%);-"/>
    <x:numFmt numFmtId="202" formatCode="#,##0.0;[Red](#,##0.0);-"/>
  </x:numFmts>
  <x:fonts count="5">
    <x:font>
      <x:sz val="11"/>
      <x:name val="Carlito"/>
    </x:font>
    <x:font>
      <x:b/>
      <x:sz val="15"/>
      <x:color rgb="FAFAF7"/>
      <x:name val="Carlito"/>
    </x:font>
    <x:font>
      <x:sz val="10"/>
      <x:color rgb="1B2E25"/>
      <x:name val="Carlito"/>
    </x:font>
    <x:font>
      <x:b/>
      <x:sz val="11"/>
      <x:color rgb="FAFAF7"/>
      <x:name val="Carlito"/>
    </x:font>
    <x:font>
      <x:sz val="10"/>
      <x:color rgb="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2F4A3A"/>
      </x:patternFill>
    </x:fill>
    <x:fill>
      <x:patternFill patternType="solid">
        <x:fgColor rgb="FAFAF7"/>
      </x:patternFill>
    </x:fill>
    <x:fill>
      <x:patternFill patternType="solid">
        <x:fgColor rgb="1B2E25"/>
      </x:patternFill>
    </x:fill>
    <x:fill>
      <x:patternFill patternType="solid">
        <x:fgColor rgb="FFF8C5"/>
      </x:patternFill>
    </x:fill>
  </x:fills>
  <x:borders count="12">
    <x:border/>
    <x:border>
      <x:left style="thin">
        <x:color rgb="D8D4CC"/>
      </x:left>
      <x:top style="thin">
        <x:color rgb="D8D4CC"/>
      </x:top>
    </x:border>
    <x:border>
      <x:top style="thin">
        <x:color rgb="D8D4CC"/>
      </x:top>
    </x:border>
    <x:border>
      <x:right style="thin">
        <x:color rgb="D8D4CC"/>
      </x:right>
      <x:top style="thin">
        <x:color rgb="D8D4CC"/>
      </x:top>
    </x:border>
    <x:border>
      <x:left style="thin">
        <x:color rgb="D8D4CC"/>
      </x:left>
    </x:border>
    <x:border>
      <x:right style="thin">
        <x:color rgb="D8D4CC"/>
      </x:right>
    </x:border>
    <x:border>
      <x:left style="thin">
        <x:color rgb="D8D4CC"/>
      </x:left>
      <x:bottom style="thin">
        <x:color rgb="D8D4CC"/>
      </x:bottom>
    </x:border>
    <x:border>
      <x:bottom style="thin">
        <x:color rgb="D8D4CC"/>
      </x:bottom>
    </x:border>
    <x:border>
      <x:right style="thin">
        <x:color rgb="D8D4CC"/>
      </x:right>
      <x:bottom style="thin">
        <x:color rgb="D8D4CC"/>
      </x:bottom>
    </x:border>
    <x:border>
      <x:left style="thin">
        <x:color rgb="A8B89E"/>
      </x:left>
      <x:top style="thin">
        <x:color rgb="A8B89E"/>
      </x:top>
      <x:bottom style="thin">
        <x:color rgb="A8B89E"/>
      </x:bottom>
    </x:border>
    <x:border>
      <x:top style="thin">
        <x:color rgb="A8B89E"/>
      </x:top>
      <x:bottom style="thin">
        <x:color rgb="A8B89E"/>
      </x:bottom>
    </x:border>
    <x:border>
      <x:right style="thin">
        <x:color rgb="A8B89E"/>
      </x:right>
      <x:top style="thin">
        <x:color rgb="A8B89E"/>
      </x:top>
      <x:bottom style="thin">
        <x:color rgb="A8B89E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0" fontId="4" fillId="5" borderId="7" xfId="0" applyNumberFormat="1" applyFont="1" applyFill="1" applyBorder="1" applyAlignment="1">
      <x:alignment vertical="top" wrapText="1"/>
    </x:xf>
    <x:xf numFmtId="201" fontId="4" fillId="5" borderId="0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3" borderId="7" xfId="0" applyNumberFormat="1" applyFont="1" applyFill="1" applyBorder="1" applyAlignment="1">
      <x:alignment vertical="top" wrapText="1"/>
    </x:xf>
    <x:xf numFmtId="202" fontId="2" fillId="3" borderId="2" xfId="0" applyNumberFormat="1" applyFont="1" applyFill="1" applyBorder="1" applyAlignment="1">
      <x:alignment vertical="top" wrapText="1"/>
    </x:xf>
    <x:xf numFmtId="202" fontId="2" fillId="3" borderId="0" xfId="0" applyNumberFormat="1" applyFont="1" applyFill="1" applyBorder="1" applyAlignment="1">
      <x:alignment vertical="top" wrapText="1"/>
    </x:xf>
    <x:xf numFmtId="202" fontId="2" fillId="3" borderId="7" xfId="0" applyNumberFormat="1" applyFont="1" applyFill="1" applyBorder="1" applyAlignment="1">
      <x:alignment vertical="top" wrapText="1"/>
    </x:xf>
    <x:xf numFmtId="201" fontId="2" fillId="3" borderId="0" xfId="0" applyNumberFormat="1" applyFont="1" applyFill="1" applyBorder="1" applyAlignment="1">
      <x:alignment vertical="top" wrapText="1"/>
    </x:xf>
    <x:xf numFmtId="201" fontId="2" fillId="3" borderId="2" xfId="0" applyNumberFormat="1" applyFont="1" applyFill="1" applyBorder="1" applyAlignment="1">
      <x:alignment vertical="top" wrapText="1"/>
    </x:xf>
    <x:xf numFmtId="201" fontId="2" fillId="3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34e1ae36954cc6" /><Relationship Type="http://schemas.openxmlformats.org/officeDocument/2006/relationships/theme" Target="/xl/theme/theme1.xml" Id="Rc470d76db40b4ba0" /><Relationship Type="http://schemas.openxmlformats.org/officeDocument/2006/relationships/sharedStrings" Target="/xl/sharedStrings.xml" Id="R22caeb07c7d04cfe" /><Relationship Type="http://schemas.openxmlformats.org/officeDocument/2006/relationships/worksheet" Target="/xl/worksheets/sheet1.xml" Id="R2660e36647e742c7" /><Relationship Type="http://schemas.openxmlformats.org/officeDocument/2006/relationships/worksheet" Target="/xl/worksheets/sheet2.xml" Id="R7ce7423d091f4194" /><Relationship Type="http://schemas.openxmlformats.org/officeDocument/2006/relationships/worksheet" Target="/xl/worksheets/sheet3.xml" Id="Rfcbd6df947854051" /><Relationship Type="http://schemas.openxmlformats.org/officeDocument/2006/relationships/worksheet" Target="/xl/worksheets/sheet4.xml" Id="R22a2332e48564f98" /><Relationship Type="http://schemas.openxmlformats.org/officeDocument/2006/relationships/worksheet" Target="/xl/worksheets/sheet5.xml" Id="Ra084d46684fa410d" /><Relationship Type="http://schemas.openxmlformats.org/officeDocument/2006/relationships/worksheet" Target="/xl/worksheets/sheet6.xml" Id="R7dadb6fa5f0d4cb1" /><Relationship Type="http://schemas.openxmlformats.org/officeDocument/2006/relationships/worksheet" Target="/xl/worksheets/sheet7.xml" Id="R76da2ba3541d46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d5a6e768bc480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2edf0c0ac1b4c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Contribution by Year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revenue</c:v>
          </c:tx>
          <c:cat>
            <c:strLit>
              <c:ptCount val="5"/>
              <c:pt idx="0">
                <c:v>Y1</c:v>
              </c:pt>
              <c:pt idx="1">
                <c:v>Y2</c:v>
              </c:pt>
              <c:pt idx="2">
                <c:v>Y3</c:v>
              </c:pt>
              <c:pt idx="3">
                <c:v>Y4</c:v>
              </c:pt>
              <c:pt idx="4">
                <c:v>Y5</c:v>
              </c:pt>
            </c:strLit>
          </c:cat>
          <c:val>
            <c:numLit>
              <c:formatCode/>
              <c:ptCount val="5"/>
              <c:pt idx="0">
                <c:v>20500</c:v>
              </c:pt>
              <c:pt idx="1">
                <c:v>44600</c:v>
              </c:pt>
              <c:pt idx="2">
                <c:v>155000</c:v>
              </c:pt>
              <c:pt idx="3">
                <c:v>419000</c:v>
              </c:pt>
              <c:pt idx="4">
                <c:v>847000</c:v>
              </c:pt>
            </c:numLit>
          </c:val>
        </c:ser>
        <c:ser>
          <c:idx val="1"/>
          <c:order val="1"/>
          <c:tx>
            <c:v>Contribution / EBITDA</c:v>
          </c:tx>
          <c:cat>
            <c:strLit>
              <c:ptCount val="5"/>
              <c:pt idx="0">
                <c:v>Y1</c:v>
              </c:pt>
              <c:pt idx="1">
                <c:v>Y2</c:v>
              </c:pt>
              <c:pt idx="2">
                <c:v>Y3</c:v>
              </c:pt>
              <c:pt idx="3">
                <c:v>Y4</c:v>
              </c:pt>
              <c:pt idx="4">
                <c:v>Y5</c:v>
              </c:pt>
            </c:strLit>
          </c:cat>
          <c:val>
            <c:numLit>
              <c:formatCode/>
              <c:ptCount val="5"/>
              <c:pt idx="0">
                <c:v>-14300</c:v>
              </c:pt>
              <c:pt idx="1">
                <c:v>-14200</c:v>
              </c:pt>
              <c:pt idx="2">
                <c:v>10400</c:v>
              </c:pt>
              <c:pt idx="3">
                <c:v>131000</c:v>
              </c:pt>
              <c:pt idx="4">
                <c:v>329000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Y5 Revenue by SOM Scenario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Y5 revenue</c:v>
          </c:tx>
          <c:cat>
            <c:strLit>
              <c:ptCount val="5"/>
              <c:pt idx="0">
                <c:v>Base</c:v>
              </c:pt>
              <c:pt idx="1">
                <c:v>Bootstrapped</c:v>
              </c:pt>
              <c:pt idx="2">
                <c:v>Funded low</c:v>
              </c:pt>
              <c:pt idx="3">
                <c:v>Funded high</c:v>
              </c:pt>
              <c:pt idx="4">
                <c:v>M&amp;A</c:v>
              </c:pt>
            </c:strLit>
          </c:cat>
          <c:val>
            <c:numLit>
              <c:formatCode/>
              <c:ptCount val="5"/>
              <c:pt idx="0">
                <c:v>847000</c:v>
              </c:pt>
              <c:pt idx="1">
                <c:v>1500000</c:v>
              </c:pt>
              <c:pt idx="2">
                <c:v>7000000</c:v>
              </c:pt>
              <c:pt idx="3">
                <c:v>9600000</c:v>
              </c:pt>
              <c:pt idx="4">
                <c:v>13500000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8</xdr:col>
      <xdr:colOff>0</xdr:colOff>
      <xdr:row>3</xdr:row>
      <xdr:rowOff>0</xdr:rowOff>
    </xdr:from>
    <xdr:ext cx="4953000" cy="2762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d5a6e768bc480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10</xdr:row>
      <xdr:rowOff>0</xdr:rowOff>
    </xdr:from>
    <xdr:ext cx="59055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edf0c0ac1b4c2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ef80b4d06a146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b8e97d86c75a4512" /></Relationships>
</file>

<file path=xl/worksheets/sheet1.xml><?xml version="1.0" encoding="utf-8"?>
<x:worksheet xmlns:x="http://schemas.openxmlformats.org/spreadsheetml/2006/main">
  <x:sheetFormatPr defaultRowHeight="15"/>
  <x:cols>
    <x:col min="1" max="1" width="49.81999969482422" hidden="0" customWidth="1"/>
    <x:col min="2" max="2" width="114.2300033569336" hidden="0" customWidth="1"/>
  </x:cols>
  <x:sheetData>
    <x:row r="1" ht="18" hidden="0" customHeight="1">
      <x:c r="A1" s="5" t="str">
        <x:v>Green Lappe Market Entry Financial Model</x:v>
      </x:c>
      <x:c r="B1" s="5" t="str"/>
      <x:c r="C1" s="5" t="str"/>
      <x:c r="D1" s="5" t="str"/>
      <x:c r="E1" s="5" t="str"/>
      <x:c r="F1" s="5" t="str"/>
      <x:c r="G1" s="5" t="str"/>
      <x:c r="H1" s="5" t="str"/>
    </x:row>
    <x:row r="2"/>
    <x:row r="3" ht="15" hidden="0" customHeight="1">
      <x:c r="A3" s="25" t="str">
        <x:v>Purpose</x:v>
      </x:c>
      <x:c r="B3" s="26" t="str">
        <x:v>Deck input for opportunity sizing, TAM/SAM/SOM, and 5-year financial implications of entering the King + Snohomish small-owner PM market.</x:v>
      </x:c>
      <x:c r="C3" s="26" t="str"/>
      <x:c r="D3" s="26" t="str"/>
      <x:c r="E3" s="26" t="str"/>
      <x:c r="F3" s="26" t="str"/>
      <x:c r="G3" s="26" t="str"/>
      <x:c r="H3" s="27" t="str"/>
    </x:row>
    <x:row r="4" ht="15" hidden="0" customHeight="1">
      <x:c r="A4" s="28" t="str">
        <x:v>Scope</x:v>
      </x:c>
      <x:c r="B4" s="29" t="str">
        <x:v>Only local repository content used. External source values are not added. Analyst placeholders are explicitly labeled in the Assumptions and Sources sheets.</x:v>
      </x:c>
      <x:c r="C4" s="29" t="str"/>
      <x:c r="D4" s="29" t="str"/>
      <x:c r="E4" s="29" t="str"/>
      <x:c r="F4" s="29" t="str"/>
      <x:c r="G4" s="29" t="str"/>
      <x:c r="H4" s="30" t="str"/>
    </x:row>
    <x:row r="5" ht="15" hidden="0" customHeight="1">
      <x:c r="A5" s="28" t="str">
        <x:v>Core launch assumption</x:v>
      </x:c>
      <x:c r="B5" s="29" t="str">
        <x:v>Year 1 signs 5 properties and earns 75% of a full-year contribution.</x:v>
      </x:c>
      <x:c r="C5" s="29" t="str"/>
      <x:c r="D5" s="29" t="str"/>
      <x:c r="E5" s="29" t="str"/>
      <x:c r="F5" s="29" t="str"/>
      <x:c r="G5" s="29" t="str"/>
      <x:c r="H5" s="30" t="str"/>
    </x:row>
    <x:row r="6" ht="15" hidden="0" customHeight="1">
      <x:c r="A6" s="28" t="str">
        <x:v>Base case read</x:v>
      </x:c>
      <x:c r="B6" s="29" t="str">
        <x:v>Small Year 1 cohort validates operations; cash economics become meaningful only after moving from launch proof to SOM capture.</x:v>
      </x:c>
      <x:c r="C6" s="29" t="str"/>
      <x:c r="D6" s="29" t="str"/>
      <x:c r="E6" s="29" t="str"/>
      <x:c r="F6" s="29" t="str"/>
      <x:c r="G6" s="29" t="str"/>
      <x:c r="H6" s="30" t="str"/>
    </x:row>
    <x:row r="7" ht="15" hidden="0" customHeight="1">
      <x:c r="A7" s="28" t="str">
        <x:v>Brand lens</x:v>
      </x:c>
      <x:c r="B7" s="29" t="str">
        <x:v>Responsive, transparent, local, professional, human. Pricing assumes no maintenance markup and a transparent fee stack.</x:v>
      </x:c>
      <x:c r="C7" s="29" t="str"/>
      <x:c r="D7" s="29" t="str"/>
      <x:c r="E7" s="29" t="str"/>
      <x:c r="F7" s="29" t="str"/>
      <x:c r="G7" s="29" t="str"/>
      <x:c r="H7" s="30" t="str"/>
    </x:row>
    <x:row r="8" ht="15" hidden="0" customHeight="1">
      <x:c r="A8" s="28" t="str">
        <x:v>Model status</x:v>
      </x:c>
      <x:c r="B8" s="29" t="str">
        <x:f>Checks!F4</x:f>
        <x:v>OK</x:v>
      </x:c>
      <x:c r="C8" s="29" t="str"/>
      <x:c r="D8" s="29" t="str"/>
      <x:c r="E8" s="29" t="str"/>
      <x:c r="F8" s="29" t="str"/>
      <x:c r="G8" s="29" t="str"/>
      <x:c r="H8" s="30" t="str"/>
    </x:row>
    <x:row r="9" ht="15" hidden="0" customHeight="1">
      <x:c r="A9" s="28" t="str">
        <x:v>Created</x:v>
      </x:c>
      <x:c r="B9" s="29" t="str">
        <x:v>2026-05-19</x:v>
      </x:c>
      <x:c r="C9" s="29" t="str"/>
      <x:c r="D9" s="29" t="str"/>
      <x:c r="E9" s="29" t="str"/>
      <x:c r="F9" s="29" t="str"/>
      <x:c r="G9" s="29" t="str"/>
      <x:c r="H9" s="30" t="str"/>
    </x:row>
    <x:row r="10" ht="15" hidden="0" customHeight="1">
      <x:c r="A10" s="28" t="str">
        <x:v>Primary source docs</x:v>
      </x:c>
      <x:c r="B10" s="29" t="str">
        <x:v>TAM, CAC Model, Launch Prioritization, Pain Points, final-report, competitor research, effort CSV outputs.</x:v>
      </x:c>
      <x:c r="C10" s="29" t="str"/>
      <x:c r="D10" s="29" t="str"/>
      <x:c r="E10" s="29" t="str"/>
      <x:c r="F10" s="29" t="str"/>
      <x:c r="G10" s="29" t="str"/>
      <x:c r="H10" s="30" t="str"/>
    </x:row>
    <x:row r="11" ht="15" hidden="0" customHeight="1">
      <x:c r="A11" s="28" t="str">
        <x:v>Workbook tabs</x:v>
      </x:c>
      <x:c r="B11" s="29" t="str">
        <x:v>Cover | Assumptions | TAM SAM SOM | Operating Model | Scenarios | Source Data | Checks</x:v>
      </x:c>
      <x:c r="C11" s="29" t="str"/>
      <x:c r="D11" s="29" t="str"/>
      <x:c r="E11" s="29" t="str"/>
      <x:c r="F11" s="29" t="str"/>
      <x:c r="G11" s="29" t="str"/>
      <x:c r="H11" s="30" t="str"/>
    </x:row>
    <x:row r="12" ht="15" hidden="0" customHeight="1">
      <x:c r="A12" s="31" t="str">
        <x:v>Use in deck</x:v>
      </x:c>
      <x:c r="B12" s="32" t="str">
        <x:v>Use the memo for story and this workbook for auditable numbers.</x:v>
      </x:c>
      <x:c r="C12" s="32" t="str"/>
      <x:c r="D12" s="32" t="str"/>
      <x:c r="E12" s="32" t="str"/>
      <x:c r="F12" s="32" t="str"/>
      <x:c r="G12" s="32" t="str"/>
      <x:c r="H12" s="3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93000030517578" hidden="0" customWidth="1"/>
    <x:col min="2" max="2" width="5.889999866485596" hidden="0" customWidth="1"/>
    <x:col min="3" max="3" width="15.09000015258789" hidden="0" customWidth="1"/>
    <x:col min="4" max="4" width="15.460000038146973" hidden="0" customWidth="1"/>
    <x:col min="5" max="5" width="61.720001220703125" hidden="0" customWidth="1"/>
    <x:col min="6" max="6" width="8.34000015258789" hidden="0" customWidth="1"/>
  </x:cols>
  <x:sheetData>
    <x:row r="1" ht="18" hidden="0" customHeight="1">
      <x:c r="A1" s="5" t="str">
        <x:v>Assumptions</x:v>
      </x:c>
      <x:c r="B1" s="5" t="str"/>
      <x:c r="C1" s="5" t="str"/>
      <x:c r="D1" s="5" t="str"/>
      <x:c r="E1" s="5" t="str"/>
      <x:c r="F1" s="5" t="str"/>
    </x:row>
    <x:row r="2"/>
    <x:row r="3" ht="15" hidden="0" customHeight="1">
      <x:c r="A3" s="45" t="str">
        <x:v>Input</x:v>
      </x:c>
      <x:c r="B3" s="46" t="str">
        <x:v>Value</x:v>
      </x:c>
      <x:c r="C3" s="46" t="str">
        <x:v>Units</x:v>
      </x:c>
      <x:c r="D3" s="46" t="str">
        <x:v>Type</x:v>
      </x:c>
      <x:c r="E3" s="46" t="str">
        <x:v>Source / rationale</x:v>
      </x:c>
      <x:c r="F3" s="47" t="str">
        <x:v>Source ID</x:v>
      </x:c>
    </x:row>
    <x:row r="4" ht="15" hidden="0" customHeight="1">
      <x:c r="A4" s="25" t="str">
        <x:v>Year 1 signed properties</x:v>
      </x:c>
      <x:c r="B4" s="51" t="n">
        <x:v>5</x:v>
      </x:c>
      <x:c r="C4" s="26" t="str">
        <x:v>doors</x:v>
      </x:c>
      <x:c r="D4" s="26" t="str">
        <x:v>User input</x:v>
      </x:c>
      <x:c r="E4" s="26" t="str">
        <x:v>User specified 5 properties under management.</x:v>
      </x:c>
      <x:c r="F4" s="27" t="str">
        <x:v>U-01</x:v>
      </x:c>
    </x:row>
    <x:row r="5" ht="15" hidden="0" customHeight="1">
      <x:c r="A5" s="28" t="str">
        <x:v>Year 1 active-year factor</x:v>
      </x:c>
      <x:c r="B5" s="56" t="n">
        <x:v>0.75</x:v>
      </x:c>
      <x:c r="C5" s="29" t="str">
        <x:v>% of full year</x:v>
      </x:c>
      <x:c r="D5" s="29" t="str">
        <x:v>User input</x:v>
      </x:c>
      <x:c r="E5" s="29" t="str">
        <x:v>Interpreted as 5 properties at 75% of a full operating year.</x:v>
      </x:c>
      <x:c r="F5" s="30" t="str">
        <x:v>U-02</x:v>
      </x:c>
    </x:row>
    <x:row r="6" ht="15" hidden="0" customHeight="1">
      <x:c r="A6" s="28" t="str">
        <x:v>Base ending doors Y2</x:v>
      </x:c>
      <x:c r="B6" s="52" t="n">
        <x:v>12</x:v>
      </x:c>
      <x:c r="C6" s="29" t="str">
        <x:v>doors</x:v>
      </x:c>
      <x:c r="D6" s="29" t="str">
        <x:v>Local strategy</x:v>
      </x:c>
      <x:c r="E6" s="29" t="str">
        <x:v>Launch Prioritization phase 2 target: 6-12 SFRs in months 13-24.</x:v>
      </x:c>
      <x:c r="F6" s="30" t="str">
        <x:v>L-01</x:v>
      </x:c>
    </x:row>
    <x:row r="7" ht="15" hidden="0" customHeight="1">
      <x:c r="A7" s="28" t="str">
        <x:v>Base ending doors Y3</x:v>
      </x:c>
      <x:c r="B7" s="52" t="n">
        <x:v>40</x:v>
      </x:c>
      <x:c r="C7" s="29" t="str">
        <x:v>doors</x:v>
      </x:c>
      <x:c r="D7" s="29" t="str">
        <x:v>Analyst assumption</x:v>
      </x:c>
      <x:c r="E7" s="29" t="str">
        <x:v>Bridge from launch proof toward bootstrapped SOM while preserving service quality.</x:v>
      </x:c>
      <x:c r="F7" s="30" t="str">
        <x:v>A-01</x:v>
      </x:c>
    </x:row>
    <x:row r="8" ht="15" hidden="0" customHeight="1">
      <x:c r="A8" s="28" t="str">
        <x:v>Base ending doors Y4</x:v>
      </x:c>
      <x:c r="B8" s="52" t="n">
        <x:v>100</x:v>
      </x:c>
      <x:c r="C8" s="29" t="str">
        <x:v>doors</x:v>
      </x:c>
      <x:c r="D8" s="29" t="str">
        <x:v>Analyst assumption</x:v>
      </x:c>
      <x:c r="E8" s="29" t="str">
        <x:v>Organic/referral-led growth before funded boutique scale.</x:v>
      </x:c>
      <x:c r="F8" s="30" t="str">
        <x:v>A-02</x:v>
      </x:c>
    </x:row>
    <x:row r="9" ht="15" hidden="0" customHeight="1">
      <x:c r="A9" s="28" t="str">
        <x:v>Base ending doors Y5</x:v>
      </x:c>
      <x:c r="B9" s="52" t="n">
        <x:v>200</x:v>
      </x:c>
      <x:c r="C9" s="29" t="str">
        <x:v>doors</x:v>
      </x:c>
      <x:c r="D9" s="29" t="str">
        <x:v>Local market anchor</x:v>
      </x:c>
      <x:c r="E9" s="29" t="str">
        <x:v>Below bootstrapped SOM Y5 ceiling of 400 doors; treats launch as quality-led.</x:v>
      </x:c>
      <x:c r="F9" s="30" t="str">
        <x:v>M-01</x:v>
      </x:c>
    </x:row>
    <x:row r="10" ht="15" hidden="0" customHeight="1">
      <x:c r="A10" s="28" t="str">
        <x:v>Snohomish fee per door</x:v>
      </x:c>
      <x:c r="B10" s="54" t="n">
        <x:v>3400</x:v>
      </x:c>
      <x:c r="C10" s="29" t="str">
        <x:v>$ / door / year</x:v>
      </x:c>
      <x:c r="D10" s="29" t="str">
        <x:v>Local market input</x:v>
      </x:c>
      <x:c r="E10" s="29" t="str">
        <x:v>Snohomish base PM revenue per in-scope door.</x:v>
      </x:c>
      <x:c r="F10" s="30" t="str">
        <x:v>M-02</x:v>
      </x:c>
    </x:row>
    <x:row r="11" ht="15" hidden="0" customHeight="1">
      <x:c r="A11" s="28" t="str">
        <x:v>King fee per door</x:v>
      </x:c>
      <x:c r="B11" s="54" t="n">
        <x:v>3850</x:v>
      </x:c>
      <x:c r="C11" s="29" t="str">
        <x:v>$ / door / year</x:v>
      </x:c>
      <x:c r="D11" s="29" t="str">
        <x:v>Local market input</x:v>
      </x:c>
      <x:c r="E11" s="29" t="str">
        <x:v>King base PM revenue per in-scope door.</x:v>
      </x:c>
      <x:c r="F11" s="30" t="str">
        <x:v>M-03</x:v>
      </x:c>
    </x:row>
    <x:row r="12" ht="15" hidden="0" customHeight="1">
      <x:c r="A12" s="28" t="str">
        <x:v>Year 3 blended fee per door</x:v>
      </x:c>
      <x:c r="B12" s="52" t="n">
        <x:v>3650</x:v>
      </x:c>
      <x:c r="C12" s="29" t="str">
        <x:v>$ / door / year</x:v>
      </x:c>
      <x:c r="D12" s="29" t="str">
        <x:v>Analyst assumption</x:v>
      </x:c>
      <x:c r="E12" s="29" t="str">
        <x:v>Blend as King County starts contributing after Snohomish launch.</x:v>
      </x:c>
      <x:c r="F12" s="30" t="str">
        <x:v>A-03</x:v>
      </x:c>
    </x:row>
    <x:row r="13" ht="15" hidden="0" customHeight="1">
      <x:c r="A13" s="28" t="str">
        <x:v>Setup fee</x:v>
      </x:c>
      <x:c r="B13" s="54" t="n">
        <x:v>295</x:v>
      </x:c>
      <x:c r="C13" s="29" t="str">
        <x:v>$ / new door</x:v>
      </x:c>
      <x:c r="D13" s="29" t="str">
        <x:v>Local operating input</x:v>
      </x:c>
      <x:c r="E13" s="29" t="str">
        <x:v>GTM software/fee references include setup fees in the $200-$500 market range.</x:v>
      </x:c>
      <x:c r="F13" s="30" t="str">
        <x:v>G-01</x:v>
      </x:c>
    </x:row>
    <x:row r="14" ht="15" hidden="0" customHeight="1">
      <x:c r="A14" s="28" t="str">
        <x:v>Leasing fee</x:v>
      </x:c>
      <x:c r="B14" s="56" t="n">
        <x:v>0.5</x:v>
      </x:c>
      <x:c r="C14" s="29" t="str">
        <x:v>% of one month rent</x:v>
      </x:c>
      <x:c r="D14" s="29" t="str">
        <x:v>Local market input</x:v>
      </x:c>
      <x:c r="E14" s="29" t="str">
        <x:v>Competitor pattern: 50%-100% of one month rent.</x:v>
      </x:c>
      <x:c r="F14" s="30" t="str">
        <x:v>C-01</x:v>
      </x:c>
    </x:row>
    <x:row r="15" ht="15" hidden="0" customHeight="1">
      <x:c r="A15" s="28" t="str">
        <x:v>Renewal fee</x:v>
      </x:c>
      <x:c r="B15" s="52" t="n">
        <x:v>250</x:v>
      </x:c>
      <x:c r="C15" s="29" t="str">
        <x:v>$ / renewal</x:v>
      </x:c>
      <x:c r="D15" s="29" t="str">
        <x:v>Local market input</x:v>
      </x:c>
      <x:c r="E15" s="29" t="str">
        <x:v>Competitor pattern: $250 flat to 25% of one month.</x:v>
      </x:c>
      <x:c r="F15" s="30" t="str">
        <x:v>C-02</x:v>
      </x:c>
    </x:row>
    <x:row r="16" ht="15" hidden="0" customHeight="1">
      <x:c r="A16" s="28" t="str">
        <x:v>Snohomish avg small-owner rent</x:v>
      </x:c>
      <x:c r="B16" s="54" t="n">
        <x:v>2514</x:v>
      </x:c>
      <x:c r="C16" s="29" t="str">
        <x:v>$ / month</x:v>
      </x:c>
      <x:c r="D16" s="29" t="str">
        <x:v>CSV-derived</x:v>
      </x:c>
      <x:c r="E16" s="29" t="str">
        <x:v>Effort 2 small-owner rent roll / small-owner units / 12.</x:v>
      </x:c>
      <x:c r="F16" s="30" t="str">
        <x:v>D-01</x:v>
      </x:c>
    </x:row>
    <x:row r="17" ht="15" hidden="0" customHeight="1">
      <x:c r="A17" s="28" t="str">
        <x:v>King avg small-owner rent</x:v>
      </x:c>
      <x:c r="B17" s="54" t="n">
        <x:v>2952</x:v>
      </x:c>
      <x:c r="C17" s="29" t="str">
        <x:v>$ / month</x:v>
      </x:c>
      <x:c r="D17" s="29" t="str">
        <x:v>CSV-derived</x:v>
      </x:c>
      <x:c r="E17" s="29" t="str">
        <x:v>Effort 2 small-owner rent roll / small-owner units / 12.</x:v>
      </x:c>
      <x:c r="F17" s="30" t="str">
        <x:v>D-02</x:v>
      </x:c>
    </x:row>
    <x:row r="18" ht="15" hidden="0" customHeight="1">
      <x:c r="A18" s="28" t="str">
        <x:v>SFR turnover rate</x:v>
      </x:c>
      <x:c r="B18" s="56" t="n">
        <x:v>0.3</x:v>
      </x:c>
      <x:c r="C18" s="29" t="str">
        <x:v>% / year</x:v>
      </x:c>
      <x:c r="D18" s="29" t="str">
        <x:v>Local TAM input</x:v>
      </x:c>
      <x:c r="E18" s="29" t="str">
        <x:v>TAM report uses ~30% SFR turnover.</x:v>
      </x:c>
      <x:c r="F18" s="30" t="str">
        <x:v>T-01</x:v>
      </x:c>
    </x:row>
    <x:row r="19" ht="15" hidden="0" customHeight="1">
      <x:c r="A19" s="28" t="str">
        <x:v>Renewal rate</x:v>
      </x:c>
      <x:c r="B19" s="56" t="n">
        <x:v>0.7</x:v>
      </x:c>
      <x:c r="C19" s="29" t="str">
        <x:v>% / year</x:v>
      </x:c>
      <x:c r="D19" s="29" t="str">
        <x:v>Derived</x:v>
      </x:c>
      <x:c r="E19" s="29" t="str">
        <x:v>1 - SFR turnover rate.</x:v>
      </x:c>
      <x:c r="F19" s="30" t="str">
        <x:v>A-04</x:v>
      </x:c>
    </x:row>
    <x:row r="20" ht="15" hidden="0" customHeight="1">
      <x:c r="A20" s="28" t="str">
        <x:v>Direct ops cost Y1-Y2</x:v>
      </x:c>
      <x:c r="B20" s="54" t="n">
        <x:v>750</x:v>
      </x:c>
      <x:c r="C20" s="29" t="str">
        <x:v>$ / active door / year</x:v>
      </x:c>
      <x:c r="D20" s="29" t="str">
        <x:v>Analyst assumption</x:v>
      </x:c>
      <x:c r="E20" s="29" t="str">
        <x:v>Maintenance coordination/accounting burden for high-touch launch.</x:v>
      </x:c>
      <x:c r="F20" s="30" t="str">
        <x:v>A-05</x:v>
      </x:c>
    </x:row>
    <x:row r="21" ht="15" hidden="0" customHeight="1">
      <x:c r="A21" s="28" t="str">
        <x:v>Direct ops cost Y3-Y5</x:v>
      </x:c>
      <x:c r="B21" s="54" t="n">
        <x:v>600</x:v>
      </x:c>
      <x:c r="C21" s="29" t="str">
        <x:v>$ / active door / year</x:v>
      </x:c>
      <x:c r="D21" s="29" t="str">
        <x:v>Analyst assumption</x:v>
      </x:c>
      <x:c r="E21" s="29" t="str">
        <x:v>Process leverage after operating templates stabilize.</x:v>
      </x:c>
      <x:c r="F21" s="30" t="str">
        <x:v>A-06</x:v>
      </x:c>
    </x:row>
    <x:row r="22" ht="15" hidden="0" customHeight="1">
      <x:c r="A22" s="28" t="str">
        <x:v>Owner CAC Y1</x:v>
      </x:c>
      <x:c r="B22" s="54" t="n">
        <x:v>0</x:v>
      </x:c>
      <x:c r="C22" s="29" t="str">
        <x:v>$ / new door</x:v>
      </x:c>
      <x:c r="D22" s="29" t="str">
        <x:v>Local strategy</x:v>
      </x:c>
      <x:c r="E22" s="29" t="str">
        <x:v>Warm introductions through Megan Green network; paid marketing deferred.</x:v>
      </x:c>
      <x:c r="F22" s="30" t="str">
        <x:v>L-02</x:v>
      </x:c>
    </x:row>
    <x:row r="23" ht="15" hidden="0" customHeight="1">
      <x:c r="A23" s="28" t="str">
        <x:v>Owner CAC Y2</x:v>
      </x:c>
      <x:c r="B23" s="54" t="n">
        <x:v>500</x:v>
      </x:c>
      <x:c r="C23" s="29" t="str">
        <x:v>$ / new door</x:v>
      </x:c>
      <x:c r="D23" s="29" t="str">
        <x:v>Analyst assumption</x:v>
      </x:c>
      <x:c r="E23" s="29" t="str">
        <x:v>Warm referral expansion.</x:v>
      </x:c>
      <x:c r="F23" s="30" t="str">
        <x:v>A-07</x:v>
      </x:c>
    </x:row>
    <x:row r="24" ht="15" hidden="0" customHeight="1">
      <x:c r="A24" s="28" t="str">
        <x:v>Owner CAC Y3+</x:v>
      </x:c>
      <x:c r="B24" s="54" t="n">
        <x:v>1500</x:v>
      </x:c>
      <x:c r="C24" s="29" t="str">
        <x:v>$ / new door</x:v>
      </x:c>
      <x:c r="D24" s="29" t="str">
        <x:v>Local CAC range</x:v>
      </x:c>
      <x:c r="E24" s="29" t="str">
        <x:v>Owner CAC model notes PM owner CAC typical range $1,500-$5,000.</x:v>
      </x:c>
      <x:c r="F24" s="30" t="str">
        <x:v>CAC-01</x:v>
      </x:c>
    </x:row>
    <x:row r="25" ht="15" hidden="0" customHeight="1">
      <x:c r="A25" s="28" t="str">
        <x:v>Renter CAC per lease</x:v>
      </x:c>
      <x:c r="B25" s="54" t="n">
        <x:v>400</x:v>
      </x:c>
      <x:c r="C25" s="29" t="str">
        <x:v>$ / signed lease</x:v>
      </x:c>
      <x:c r="D25" s="29" t="str">
        <x:v>Local CAC range</x:v>
      </x:c>
      <x:c r="E25" s="29" t="str">
        <x:v>Renter CAC model range $200-$800 per signed lease.</x:v>
      </x:c>
      <x:c r="F25" s="30" t="str">
        <x:v>CAC-02</x:v>
      </x:c>
    </x:row>
    <x:row r="26" ht="15" hidden="0" customHeight="1">
      <x:c r="A26" s="28" t="str">
        <x:v>Fixed ops Y1</x:v>
      </x:c>
      <x:c r="B26" s="54" t="n">
        <x:v>30000</x:v>
      </x:c>
      <x:c r="C26" s="29" t="str">
        <x:v>$ / year</x:v>
      </x:c>
      <x:c r="D26" s="29" t="str">
        <x:v>Analyst assumption</x:v>
      </x:c>
      <x:c r="E26" s="29" t="str">
        <x:v>Licensing, software, insurance, banking, counsel, and admin placeholders.</x:v>
      </x:c>
      <x:c r="F26" s="30" t="str">
        <x:v>A-08</x:v>
      </x:c>
    </x:row>
    <x:row r="27" ht="15" hidden="0" customHeight="1">
      <x:c r="A27" s="28" t="str">
        <x:v>Fixed ops Y2</x:v>
      </x:c>
      <x:c r="B27" s="54" t="n">
        <x:v>45000</x:v>
      </x:c>
      <x:c r="C27" s="29" t="str">
        <x:v>$ / year</x:v>
      </x:c>
      <x:c r="D27" s="29" t="str">
        <x:v>Analyst assumption</x:v>
      </x:c>
      <x:c r="E27" s="29" t="str">
        <x:v>More compliance and vendor depth as county expansion starts.</x:v>
      </x:c>
      <x:c r="F27" s="30" t="str">
        <x:v>A-09</x:v>
      </x:c>
    </x:row>
    <x:row r="28" ht="15" hidden="0" customHeight="1">
      <x:c r="A28" s="31" t="str">
        <x:v>Fixed ops Y3</x:v>
      </x:c>
      <x:c r="B28" s="55" t="n">
        <x:v>70000</x:v>
      </x:c>
      <x:c r="C28" s="32" t="str">
        <x:v>$ / year</x:v>
      </x:c>
      <x:c r="D28" s="32" t="str">
        <x:v>Analyst assumption</x:v>
      </x:c>
      <x:c r="E28" s="32" t="str">
        <x:v>Part-time operations coverage and professional services.</x:v>
      </x:c>
      <x:c r="F28" s="33" t="str">
        <x:v>A-10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.040000915527344" hidden="0" customWidth="1"/>
    <x:col min="2" max="2" width="7.239999771118164" hidden="0" customWidth="1"/>
    <x:col min="3" max="3" width="13.25" hidden="0" customWidth="1"/>
    <x:col min="4" max="4" width="13.130000114440918" hidden="0" customWidth="1"/>
    <x:col min="5" max="5" width="89.81999969482422" hidden="0" customWidth="1"/>
    <x:col min="6" max="6" width="8.34000015258789" hidden="0" customWidth="1"/>
    <x:col min="7" max="7" width="45.279998779296875" hidden="0" customWidth="1"/>
    <x:col min="8" max="8" width="19.260000228881836" hidden="0" customWidth="1"/>
  </x:cols>
  <x:sheetData>
    <x:row r="1" ht="18" hidden="0" customHeight="1">
      <x:c r="A1" s="5" t="str">
        <x:v>TAM / SAM / SOM</x:v>
      </x:c>
      <x:c r="B1" s="5" t="str"/>
      <x:c r="C1" s="5" t="str"/>
      <x:c r="D1" s="5" t="str"/>
      <x:c r="E1" s="5" t="str"/>
      <x:c r="F1" s="5" t="str"/>
      <x:c r="G1" s="5" t="str"/>
      <x:c r="H1" s="5" t="str"/>
    </x:row>
    <x:row r="2"/>
    <x:row r="3" ht="15" hidden="0" customHeight="1">
      <x:c r="A3" s="45" t="str">
        <x:v>Layer</x:v>
      </x:c>
      <x:c r="B3" s="46" t="str">
        <x:v>Doors</x:v>
      </x:c>
      <x:c r="C3" s="46" t="str">
        <x:v>Annual revenue</x:v>
      </x:c>
      <x:c r="D3" s="46" t="str">
        <x:v>Revenue / door</x:v>
      </x:c>
      <x:c r="E3" s="46" t="str">
        <x:v>Definition</x:v>
      </x:c>
      <x:c r="F3" s="46" t="str">
        <x:v>Source ID</x:v>
      </x:c>
      <x:c r="G3" s="46" t="str">
        <x:v>Implication</x:v>
      </x:c>
      <x:c r="H3" s="47" t="str">
        <x:v>Deck cut</x:v>
      </x:c>
    </x:row>
    <x:row r="4" ht="15" hidden="0" customHeight="1">
      <x:c r="A4" s="25" t="str">
        <x:v>Two-county small-owner stock</x:v>
      </x:c>
      <x:c r="B4" s="60" t="n">
        <x:v>302002</x:v>
      </x:c>
      <x:c r="C4" s="57" t="n">
        <x:v>10310234625</x:v>
      </x:c>
      <x:c r="D4" s="57" t="n">
        <x:f>C4/B4</x:f>
        <x:v>34139.623661432706</x:v>
      </x:c>
      <x:c r="E4" s="26" t="str">
        <x:v>Modeled local small-owner units and rent roll from Effort 2.</x:v>
      </x:c>
      <x:c r="F4" s="26" t="str">
        <x:v>D-03</x:v>
      </x:c>
      <x:c r="G4" s="26" t="str">
        <x:v>Total in-scope owner universe before PM adoption filters.</x:v>
      </x:c>
      <x:c r="H4" s="27" t="str">
        <x:v>TAM stock</x:v>
      </x:c>
    </x:row>
    <x:row r="5" ht="15" hidden="0" customHeight="1">
      <x:c r="A5" s="28" t="str">
        <x:v>Two-county full-stock PM TAM @ 10%</x:v>
      </x:c>
      <x:c r="B5" s="61" t="n">
        <x:v>302002</x:v>
      </x:c>
      <x:c r="C5" s="58" t="n">
        <x:v>1031023463</x:v>
      </x:c>
      <x:c r="D5" s="58" t="n">
        <x:f>C5/B5</x:f>
        <x:v>3413.962367798889</x:v>
      </x:c>
      <x:c r="E5" s="29" t="str">
        <x:v>Full small-owner stock at 10% PM fee equivalent.</x:v>
      </x:c>
      <x:c r="F5" s="29" t="str">
        <x:v>D-04</x:v>
      </x:c>
      <x:c r="G5" s="29" t="str">
        <x:v>Market is large enough; entry question is reach, not existence.</x:v>
      </x:c>
      <x:c r="H5" s="30" t="str">
        <x:v>TAM revenue</x:v>
      </x:c>
    </x:row>
    <x:row r="6" ht="15" hidden="0" customHeight="1">
      <x:c r="A6" s="28" t="str">
        <x:v>Two-county realistic current served market</x:v>
      </x:c>
      <x:c r="B6" s="61" t="n">
        <x:v>58000</x:v>
      </x:c>
      <x:c r="C6" s="58" t="n">
        <x:v>219000000</x:v>
      </x:c>
      <x:c r="D6" s="58" t="n">
        <x:f>C6/B6</x:f>
        <x:v>3775.862068965517</x:v>
      </x:c>
      <x:c r="E6" s="29" t="str">
        <x:v>King base $185M + Snohomish base $34M from competitor market report; doors reflect adoption-adjusted managed base.</x:v>
      </x:c>
      <x:c r="F6" s="29" t="str">
        <x:v>M-04</x:v>
      </x:c>
      <x:c r="G6" s="29" t="str">
        <x:v>Currently served revenue pool is fragmented.</x:v>
      </x:c>
      <x:c r="H6" s="30" t="str">
        <x:v>Current SAM context</x:v>
      </x:c>
    </x:row>
    <x:row r="7" ht="15" hidden="0" customHeight="1">
      <x:c r="A7" s="28" t="str">
        <x:v>King County entry SAM</x:v>
      </x:c>
      <x:c r="B7" s="61" t="n">
        <x:v>56000</x:v>
      </x:c>
      <x:c r="C7" s="58" t="n">
        <x:v>216000000</x:v>
      </x:c>
      <x:c r="D7" s="58" t="n">
        <x:f>C7/B7</x:f>
        <x:v>3857.1428571428573</x:v>
      </x:c>
      <x:c r="E7" s="29" t="str">
        <x:v>Greenfield King County PM entry SAM.</x:v>
      </x:c>
      <x:c r="F7" s="29" t="str">
        <x:v>M-05</x:v>
      </x:c>
      <x:c r="G7" s="29" t="str">
        <x:v>Phase-two target after Snohomish operating proof.</x:v>
      </x:c>
      <x:c r="H7" s="30" t="str">
        <x:v>SAM</x:v>
      </x:c>
    </x:row>
    <x:row r="8" ht="15" hidden="0" customHeight="1">
      <x:c r="A8" s="28" t="str">
        <x:v>Snohomish current served market</x:v>
      </x:c>
      <x:c r="B8" s="61" t="n">
        <x:v>9990</x:v>
      </x:c>
      <x:c r="C8" s="58" t="n">
        <x:v>34000000</x:v>
      </x:c>
      <x:c r="D8" s="58" t="n">
        <x:f>C8/B8</x:f>
        <x:v>3403.4034034034034</x:v>
      </x:c>
      <x:c r="E8" s="29" t="str">
        <x:v>Snohomish base market: 37,000 in-scope units at 27% professional-management adoption.</x:v>
      </x:c>
      <x:c r="F8" s="29" t="str">
        <x:v>M-06</x:v>
      </x:c>
      <x:c r="G8" s="29" t="str">
        <x:v>Launch beachhead; lower complexity, warmer network.</x:v>
      </x:c>
      <x:c r="H8" s="30" t="str">
        <x:v>Beachhead current served</x:v>
      </x:c>
    </x:row>
    <x:row r="9" ht="15" hidden="0" customHeight="1">
      <x:c r="A9" s="28" t="str">
        <x:v>Bootstrapped SOM Y3</x:v>
      </x:c>
      <x:c r="B9" s="61" t="n">
        <x:v>200</x:v>
      </x:c>
      <x:c r="C9" s="58" t="n">
        <x:v>770000</x:v>
      </x:c>
      <x:c r="D9" s="58" t="n">
        <x:f>C9/B9</x:f>
        <x:v>3850</x:v>
      </x:c>
      <x:c r="E9" s="29" t="str">
        <x:v>Competitor market report bootstrapped SOM.</x:v>
      </x:c>
      <x:c r="F9" s="29" t="str">
        <x:v>M-07</x:v>
      </x:c>
      <x:c r="G9" s="29" t="str">
        <x:v>Achievable without M&amp;A if referrals compound.</x:v>
      </x:c>
      <x:c r="H9" s="30" t="str">
        <x:v>SOM low</x:v>
      </x:c>
    </x:row>
    <x:row r="10" ht="15" hidden="0" customHeight="1">
      <x:c r="A10" s="28" t="str">
        <x:v>Bootstrapped SOM Y5</x:v>
      </x:c>
      <x:c r="B10" s="61" t="n">
        <x:v>400</x:v>
      </x:c>
      <x:c r="C10" s="58" t="n">
        <x:v>1500000</x:v>
      </x:c>
      <x:c r="D10" s="58" t="n">
        <x:f>C10/B10</x:f>
        <x:v>3750</x:v>
      </x:c>
      <x:c r="E10" s="29" t="str">
        <x:v>Competitor market report bootstrapped SOM.</x:v>
      </x:c>
      <x:c r="F10" s="29" t="str">
        <x:v>M-08</x:v>
      </x:c>
      <x:c r="G10" s="29" t="str">
        <x:v>Still &lt;1% of King SAM.</x:v>
      </x:c>
      <x:c r="H10" s="30" t="str">
        <x:v>SOM low</x:v>
      </x:c>
    </x:row>
    <x:row r="11" ht="15" hidden="0" customHeight="1">
      <x:c r="A11" s="28" t="str">
        <x:v>Funded boutique SOM Y3</x:v>
      </x:c>
      <x:c r="B11" s="61" t="n">
        <x:v>1000</x:v>
      </x:c>
      <x:c r="C11" s="58" t="n">
        <x:v>3850000</x:v>
      </x:c>
      <x:c r="D11" s="58" t="n">
        <x:f>C11/B11</x:f>
        <x:v>3850</x:v>
      </x:c>
      <x:c r="E11" s="29" t="str">
        <x:v>Funded boutique scenario midpoint.</x:v>
      </x:c>
      <x:c r="F11" s="29" t="str">
        <x:v>M-09</x:v>
      </x:c>
      <x:c r="G11" s="29" t="str">
        <x:v>Requires capitalized team and repeatable acquisition.</x:v>
      </x:c>
      <x:c r="H11" s="30" t="str">
        <x:v>SOM base</x:v>
      </x:c>
    </x:row>
    <x:row r="12" ht="15" hidden="0" customHeight="1">
      <x:c r="A12" s="28" t="str">
        <x:v>Funded boutique SOM Y5</x:v>
      </x:c>
      <x:c r="B12" s="61" t="n">
        <x:v>2500</x:v>
      </x:c>
      <x:c r="C12" s="58" t="n">
        <x:v>9600000</x:v>
      </x:c>
      <x:c r="D12" s="58" t="n">
        <x:f>C12/B12</x:f>
        <x:v>3840</x:v>
      </x:c>
      <x:c r="E12" s="29" t="str">
        <x:v>Funded boutique scenario high end.</x:v>
      </x:c>
      <x:c r="F12" s="29" t="str">
        <x:v>M-10</x:v>
      </x:c>
      <x:c r="G12" s="29" t="str">
        <x:v>Meaningful but still low single-digit SAM share.</x:v>
      </x:c>
      <x:c r="H12" s="30" t="str">
        <x:v>SOM base</x:v>
      </x:c>
    </x:row>
    <x:row r="13" ht="15" hidden="0" customHeight="1">
      <x:c r="A13" s="31" t="str">
        <x:v>Funded + M&amp;A SOM Y5</x:v>
      </x:c>
      <x:c r="B13" s="62" t="n">
        <x:v>3500</x:v>
      </x:c>
      <x:c r="C13" s="59" t="n">
        <x:v>13500000</x:v>
      </x:c>
      <x:c r="D13" s="59" t="n">
        <x:f>C13/B13</x:f>
        <x:v>3857.1428571428573</x:v>
      </x:c>
      <x:c r="E13" s="32" t="str">
        <x:v>Funded + M&amp;A high case.</x:v>
      </x:c>
      <x:c r="F13" s="32" t="str">
        <x:v>M-11</x:v>
      </x:c>
      <x:c r="G13" s="32" t="str">
        <x:v>Requires acquisition execution and integration capacity.</x:v>
      </x:c>
      <x:c r="H13" s="33" t="str">
        <x:v>SOM high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.40999984741211" hidden="0" customWidth="1"/>
    <x:col min="2" max="2" width="74.2300033569336" hidden="0" customWidth="1"/>
    <x:col min="3" max="3" width="74.2300033569336" hidden="0" customWidth="1"/>
    <x:col min="4" max="4" width="74.2300033569336" hidden="0" customWidth="1"/>
    <x:col min="5" max="5" width="74.2300033569336" hidden="0" customWidth="1"/>
    <x:col min="6" max="6" width="74.2300033569336" hidden="0" customWidth="1"/>
    <x:col min="7" max="7" width="11.289999961853027" hidden="0" customWidth="1"/>
  </x:cols>
  <x:sheetData>
    <x:row r="1" ht="18" hidden="0" customHeight="1">
      <x:c r="A1" s="5" t="str">
        <x:v>5-Year Base Case</x:v>
      </x:c>
      <x:c r="B1" s="5" t="str"/>
      <x:c r="C1" s="5" t="str"/>
      <x:c r="D1" s="5" t="str"/>
      <x:c r="E1" s="5" t="str"/>
      <x:c r="F1" s="5" t="str"/>
      <x:c r="G1" s="5" t="str"/>
    </x:row>
    <x:row r="2"/>
    <x:row r="3" ht="15" hidden="0" customHeight="1">
      <x:c r="A3" s="45" t="str">
        <x:v>Metric</x:v>
      </x:c>
      <x:c r="B3" s="46" t="str">
        <x:v>Y1</x:v>
      </x:c>
      <x:c r="C3" s="46" t="str">
        <x:v>Y2</x:v>
      </x:c>
      <x:c r="D3" s="46" t="str">
        <x:v>Y3</x:v>
      </x:c>
      <x:c r="E3" s="46" t="str">
        <x:v>Y4</x:v>
      </x:c>
      <x:c r="F3" s="46" t="str">
        <x:v>Y5</x:v>
      </x:c>
      <x:c r="G3" s="47" t="str">
        <x:v>Formula note</x:v>
      </x:c>
    </x:row>
    <x:row r="4" ht="15" hidden="0" customHeight="1">
      <x:c r="A4" s="25" t="str">
        <x:v>Ending managed doors</x:v>
      </x:c>
      <x:c r="B4" s="60" t="n">
        <x:f>Assumptions!B4</x:f>
        <x:v>5</x:v>
      </x:c>
      <x:c r="C4" s="60" t="n">
        <x:f>Assumptions!B6</x:f>
        <x:v>12</x:v>
      </x:c>
      <x:c r="D4" s="60" t="n">
        <x:f>Assumptions!B7</x:f>
        <x:v>40</x:v>
      </x:c>
      <x:c r="E4" s="60" t="n">
        <x:f>Assumptions!B8</x:f>
        <x:v>100</x:v>
      </x:c>
      <x:c r="F4" s="60" t="n">
        <x:f>Assumptions!B9</x:f>
        <x:v>200</x:v>
      </x:c>
      <x:c r="G4" s="27"/>
    </x:row>
    <x:row r="5" ht="15" hidden="0" customHeight="1">
      <x:c r="A5" s="28" t="str">
        <x:v>Average active doors</x:v>
      </x:c>
      <x:c r="B5" s="61" t="n">
        <x:f>B4*Assumptions!B5</x:f>
        <x:v>3.75</x:v>
      </x:c>
      <x:c r="C5" s="61" t="n">
        <x:f>(B4+C4)/2</x:f>
        <x:v>8.5</x:v>
      </x:c>
      <x:c r="D5" s="61" t="n">
        <x:f>(C4+D4)/2</x:f>
        <x:v>26</x:v>
      </x:c>
      <x:c r="E5" s="61" t="n">
        <x:f>(D4+E4)/2</x:f>
        <x:v>70</x:v>
      </x:c>
      <x:c r="F5" s="61" t="n">
        <x:f>(E4+F4)/2</x:f>
        <x:v>150</x:v>
      </x:c>
      <x:c r="G5" s="30"/>
    </x:row>
    <x:row r="6" ht="15" hidden="0" customHeight="1">
      <x:c r="A6" s="28" t="str">
        <x:v>New doors signed</x:v>
      </x:c>
      <x:c r="B6" s="61" t="n">
        <x:f>B4</x:f>
        <x:v>5</x:v>
      </x:c>
      <x:c r="C6" s="61" t="n">
        <x:f>C4-B4</x:f>
        <x:v>7</x:v>
      </x:c>
      <x:c r="D6" s="61" t="n">
        <x:f>D4-C4</x:f>
        <x:v>28</x:v>
      </x:c>
      <x:c r="E6" s="61" t="n">
        <x:f>E4-D4</x:f>
        <x:v>60</x:v>
      </x:c>
      <x:c r="F6" s="61" t="n">
        <x:f>F4-E4</x:f>
        <x:v>100</x:v>
      </x:c>
      <x:c r="G6" s="30"/>
    </x:row>
    <x:row r="7" ht="15" hidden="0" customHeight="1">
      <x:c r="A7" s="28" t="str">
        <x:v>Recurring PM fee / door / year</x:v>
      </x:c>
      <x:c r="B7" s="58" t="n">
        <x:f>Assumptions!B10</x:f>
        <x:v>3400</x:v>
      </x:c>
      <x:c r="C7" s="58" t="n">
        <x:f>Assumptions!B10</x:f>
        <x:v>3400</x:v>
      </x:c>
      <x:c r="D7" s="58" t="n">
        <x:f>Assumptions!B12</x:f>
        <x:v>3650</x:v>
      </x:c>
      <x:c r="E7" s="58" t="n">
        <x:f>Assumptions!B11</x:f>
        <x:v>3850</x:v>
      </x:c>
      <x:c r="F7" s="58" t="n">
        <x:f>Assumptions!B11</x:f>
        <x:v>3850</x:v>
      </x:c>
      <x:c r="G7" s="30"/>
    </x:row>
    <x:row r="8" ht="15" hidden="0" customHeight="1">
      <x:c r="A8" s="28" t="str">
        <x:v>Blended avg rent / month</x:v>
      </x:c>
      <x:c r="B8" s="58" t="n">
        <x:f>Assumptions!B16</x:f>
        <x:v>2514</x:v>
      </x:c>
      <x:c r="C8" s="58" t="n">
        <x:f>Assumptions!B16</x:f>
        <x:v>2514</x:v>
      </x:c>
      <x:c r="D8" s="58" t="n">
        <x:f>(Assumptions!B16+Assumptions!B17)/2</x:f>
        <x:v>2733</x:v>
      </x:c>
      <x:c r="E8" s="58" t="n">
        <x:f>Assumptions!B17</x:f>
        <x:v>2952</x:v>
      </x:c>
      <x:c r="F8" s="58" t="n">
        <x:f>Assumptions!B17</x:f>
        <x:v>2952</x:v>
      </x:c>
      <x:c r="G8" s="30"/>
    </x:row>
    <x:row r="9" ht="15" hidden="0" customHeight="1">
      <x:c r="A9" s="28" t="str">
        <x:v>Turnover leases</x:v>
      </x:c>
      <x:c r="B9" s="61" t="n">
        <x:f>B5*Assumptions!B18</x:f>
        <x:v>1.125</x:v>
      </x:c>
      <x:c r="C9" s="61" t="n">
        <x:f>C5*Assumptions!B18</x:f>
        <x:v>2.55</x:v>
      </x:c>
      <x:c r="D9" s="61" t="n">
        <x:f>D5*Assumptions!B18</x:f>
        <x:v>7.8</x:v>
      </x:c>
      <x:c r="E9" s="61" t="n">
        <x:f>E5*Assumptions!B18</x:f>
        <x:v>21</x:v>
      </x:c>
      <x:c r="F9" s="61" t="n">
        <x:f>F5*Assumptions!B18</x:f>
        <x:v>45</x:v>
      </x:c>
      <x:c r="G9" s="30"/>
    </x:row>
    <x:row r="10" ht="15" hidden="0" customHeight="1">
      <x:c r="A10" s="28" t="str">
        <x:v>New-door leases</x:v>
      </x:c>
      <x:c r="B10" s="61" t="n">
        <x:f>B6</x:f>
        <x:v>5</x:v>
      </x:c>
      <x:c r="C10" s="61" t="n">
        <x:f>C6</x:f>
        <x:v>7</x:v>
      </x:c>
      <x:c r="D10" s="61" t="n">
        <x:f>D6</x:f>
        <x:v>28</x:v>
      </x:c>
      <x:c r="E10" s="61" t="n">
        <x:f>E6</x:f>
        <x:v>60</x:v>
      </x:c>
      <x:c r="F10" s="61" t="n">
        <x:f>F6</x:f>
        <x:v>100</x:v>
      </x:c>
      <x:c r="G10" s="30"/>
    </x:row>
    <x:row r="11" ht="15" hidden="0" customHeight="1">
      <x:c r="A11" s="28" t="str">
        <x:v>Renewals</x:v>
      </x:c>
      <x:c r="B11" s="61" t="n">
        <x:f>0</x:f>
        <x:v>0</x:v>
      </x:c>
      <x:c r="C11" s="61" t="n">
        <x:f>C5*Assumptions!B19</x:f>
        <x:v>5.949999999999999</x:v>
      </x:c>
      <x:c r="D11" s="61" t="n">
        <x:f>D5*Assumptions!B19</x:f>
        <x:v>18.2</x:v>
      </x:c>
      <x:c r="E11" s="61" t="n">
        <x:f>E5*Assumptions!B19</x:f>
        <x:v>49</x:v>
      </x:c>
      <x:c r="F11" s="61" t="n">
        <x:f>F5*Assumptions!B19</x:f>
        <x:v>105</x:v>
      </x:c>
      <x:c r="G11" s="30"/>
    </x:row>
    <x:row r="12" ht="15" hidden="0" customHeight="1">
      <x:c r="A12" s="28" t="str">
        <x:v>Management fee revenue</x:v>
      </x:c>
      <x:c r="B12" s="58" t="n">
        <x:f>B5*B7</x:f>
        <x:v>12750</x:v>
      </x:c>
      <x:c r="C12" s="58" t="n">
        <x:f>C5*C7</x:f>
        <x:v>28900</x:v>
      </x:c>
      <x:c r="D12" s="58" t="n">
        <x:f>D5*D7</x:f>
        <x:v>94900</x:v>
      </x:c>
      <x:c r="E12" s="58" t="n">
        <x:f>E5*E7</x:f>
        <x:v>269500</x:v>
      </x:c>
      <x:c r="F12" s="58" t="n">
        <x:f>F5*F7</x:f>
        <x:v>577500</x:v>
      </x:c>
      <x:c r="G12" s="30"/>
    </x:row>
    <x:row r="13" ht="15" hidden="0" customHeight="1">
      <x:c r="A13" s="28" t="str">
        <x:v>Setup fee revenue</x:v>
      </x:c>
      <x:c r="B13" s="58" t="n">
        <x:f>B6*Assumptions!B13</x:f>
        <x:v>1475</x:v>
      </x:c>
      <x:c r="C13" s="58" t="n">
        <x:f>C6*Assumptions!B13</x:f>
        <x:v>2065</x:v>
      </x:c>
      <x:c r="D13" s="58" t="n">
        <x:f>D6*Assumptions!B13</x:f>
        <x:v>8260</x:v>
      </x:c>
      <x:c r="E13" s="58" t="n">
        <x:f>E6*Assumptions!B13</x:f>
        <x:v>17700</x:v>
      </x:c>
      <x:c r="F13" s="58" t="n">
        <x:f>F6*Assumptions!B13</x:f>
        <x:v>29500</x:v>
      </x:c>
      <x:c r="G13" s="30"/>
    </x:row>
    <x:row r="14" ht="15" hidden="0" customHeight="1">
      <x:c r="A14" s="28" t="str">
        <x:v>Leasing fee revenue</x:v>
      </x:c>
      <x:c r="B14" s="58" t="n">
        <x:f>(B9+B10)*B8*Assumptions!B14</x:f>
        <x:v>7699.125</x:v>
      </x:c>
      <x:c r="C14" s="58" t="n">
        <x:f>(C9+C10)*C8*Assumptions!B14</x:f>
        <x:v>12004.35</x:v>
      </x:c>
      <x:c r="D14" s="58" t="n">
        <x:f>(D9+D10)*D8*Assumptions!B14</x:f>
        <x:v>48920.7</x:v>
      </x:c>
      <x:c r="E14" s="58" t="n">
        <x:f>(E9+E10)*E8*Assumptions!B14</x:f>
        <x:v>119556</x:v>
      </x:c>
      <x:c r="F14" s="58" t="n">
        <x:f>(F9+F10)*F8*Assumptions!B14</x:f>
        <x:v>214020</x:v>
      </x:c>
      <x:c r="G14" s="30"/>
    </x:row>
    <x:row r="15" ht="15" hidden="0" customHeight="1">
      <x:c r="A15" s="28" t="str">
        <x:v>Renewal fee revenue</x:v>
      </x:c>
      <x:c r="B15" s="58" t="n">
        <x:f>B11*Assumptions!B15</x:f>
        <x:v>0</x:v>
      </x:c>
      <x:c r="C15" s="58" t="n">
        <x:f>C11*Assumptions!B15</x:f>
        <x:v>1487.4999999999998</x:v>
      </x:c>
      <x:c r="D15" s="58" t="n">
        <x:f>D11*Assumptions!B15</x:f>
        <x:v>4550</x:v>
      </x:c>
      <x:c r="E15" s="58" t="n">
        <x:f>E11*Assumptions!B15</x:f>
        <x:v>12250</x:v>
      </x:c>
      <x:c r="F15" s="58" t="n">
        <x:f>F11*Assumptions!B15</x:f>
        <x:v>26250</x:v>
      </x:c>
      <x:c r="G15" s="30"/>
    </x:row>
    <x:row r="16" ht="15" hidden="0" customHeight="1">
      <x:c r="A16" s="28" t="str">
        <x:v>Total revenue</x:v>
      </x:c>
      <x:c r="B16" s="58" t="n">
        <x:f>SUM(B12:B15)</x:f>
        <x:v>21924.125</x:v>
      </x:c>
      <x:c r="C16" s="58" t="n">
        <x:f>SUM(C12:C15)</x:f>
        <x:v>44456.85</x:v>
      </x:c>
      <x:c r="D16" s="58" t="n">
        <x:f>SUM(D12:D15)</x:f>
        <x:v>156630.7</x:v>
      </x:c>
      <x:c r="E16" s="58" t="n">
        <x:f>SUM(E12:E15)</x:f>
        <x:v>419006</x:v>
      </x:c>
      <x:c r="F16" s="58" t="n">
        <x:f>SUM(F12:F15)</x:f>
        <x:v>847270</x:v>
      </x:c>
      <x:c r="G16" s="30"/>
    </x:row>
    <x:row r="17" ht="15" hidden="0" customHeight="1">
      <x:c r="A17" s="28" t="str">
        <x:v>Direct ops cost</x:v>
      </x:c>
      <x:c r="B17" s="58" t="n">
        <x:f>B5*Assumptions!B20</x:f>
        <x:v>2812.5</x:v>
      </x:c>
      <x:c r="C17" s="58" t="n">
        <x:f>C5*Assumptions!B20</x:f>
        <x:v>6375</x:v>
      </x:c>
      <x:c r="D17" s="58" t="n">
        <x:f>D5*Assumptions!B21</x:f>
        <x:v>15600</x:v>
      </x:c>
      <x:c r="E17" s="58" t="n">
        <x:f>E5*Assumptions!B21</x:f>
        <x:v>42000</x:v>
      </x:c>
      <x:c r="F17" s="58" t="n">
        <x:f>F5*Assumptions!B21</x:f>
        <x:v>90000</x:v>
      </x:c>
      <x:c r="G17" s="30"/>
    </x:row>
    <x:row r="18" ht="15" hidden="0" customHeight="1">
      <x:c r="A18" s="28" t="str">
        <x:v>Owner CAC</x:v>
      </x:c>
      <x:c r="B18" s="58" t="n">
        <x:f>B6*Assumptions!B22</x:f>
        <x:v>0</x:v>
      </x:c>
      <x:c r="C18" s="58" t="n">
        <x:f>C6*Assumptions!B23</x:f>
        <x:v>3500</x:v>
      </x:c>
      <x:c r="D18" s="58" t="n">
        <x:f>D6*Assumptions!B24</x:f>
        <x:v>42000</x:v>
      </x:c>
      <x:c r="E18" s="58" t="n">
        <x:f>E6*Assumptions!B24</x:f>
        <x:v>90000</x:v>
      </x:c>
      <x:c r="F18" s="58" t="n">
        <x:f>F6*Assumptions!B24</x:f>
        <x:v>150000</x:v>
      </x:c>
      <x:c r="G18" s="30"/>
    </x:row>
    <x:row r="19" ht="15" hidden="0" customHeight="1">
      <x:c r="A19" s="28" t="str">
        <x:v>Renter CAC</x:v>
      </x:c>
      <x:c r="B19" s="58" t="n">
        <x:f>(B9+B10)*Assumptions!B25</x:f>
        <x:v>2450</x:v>
      </x:c>
      <x:c r="C19" s="58" t="n">
        <x:f>(C9+C10)*Assumptions!B25</x:f>
        <x:v>3820.0000000000005</x:v>
      </x:c>
      <x:c r="D19" s="58" t="n">
        <x:f>(D9+D10)*Assumptions!B25</x:f>
        <x:v>14319.999999999998</x:v>
      </x:c>
      <x:c r="E19" s="58" t="n">
        <x:f>(E9+E10)*Assumptions!B25</x:f>
        <x:v>32400</x:v>
      </x:c>
      <x:c r="F19" s="58" t="n">
        <x:f>(F9+F10)*Assumptions!B25</x:f>
        <x:v>58000</x:v>
      </x:c>
      <x:c r="G19" s="30"/>
    </x:row>
    <x:row r="20" ht="15" hidden="0" customHeight="1">
      <x:c r="A20" s="28" t="str">
        <x:v>Fixed operating costs</x:v>
      </x:c>
      <x:c r="B20" s="58" t="n">
        <x:f>Assumptions!B26</x:f>
        <x:v>30000</x:v>
      </x:c>
      <x:c r="C20" s="58" t="n">
        <x:f>Assumptions!B27</x:f>
        <x:v>45000</x:v>
      </x:c>
      <x:c r="D20" s="58" t="n">
        <x:f>Assumptions!B28</x:f>
        <x:v>70000</x:v>
      </x:c>
      <x:c r="E20" s="58" t="n">
        <x:f>120000</x:f>
        <x:v>120000</x:v>
      </x:c>
      <x:c r="F20" s="58" t="n">
        <x:f>220000</x:f>
        <x:v>220000</x:v>
      </x:c>
      <x:c r="G20" s="30"/>
    </x:row>
    <x:row r="21" ht="15" hidden="0" customHeight="1">
      <x:c r="A21" s="28" t="str">
        <x:v>Total cash operating costs</x:v>
      </x:c>
      <x:c r="B21" s="58" t="n">
        <x:f>SUM(B17:B20)</x:f>
        <x:v>35262.5</x:v>
      </x:c>
      <x:c r="C21" s="58" t="n">
        <x:f>SUM(C17:C20)</x:f>
        <x:v>58695</x:v>
      </x:c>
      <x:c r="D21" s="58" t="n">
        <x:f>SUM(D17:D20)</x:f>
        <x:v>141920</x:v>
      </x:c>
      <x:c r="E21" s="58" t="n">
        <x:f>SUM(E17:E20)</x:f>
        <x:v>284400</x:v>
      </x:c>
      <x:c r="F21" s="58" t="n">
        <x:f>SUM(F17:F20)</x:f>
        <x:v>518000</x:v>
      </x:c>
      <x:c r="G21" s="30"/>
    </x:row>
    <x:row r="22" ht="15" hidden="0" customHeight="1">
      <x:c r="A22" s="28" t="str">
        <x:v>Contribution / EBITDA before founder draw</x:v>
      </x:c>
      <x:c r="B22" s="58" t="n">
        <x:f>B16-B21</x:f>
        <x:v>-13338.375</x:v>
      </x:c>
      <x:c r="C22" s="58" t="n">
        <x:f>C16-C21</x:f>
        <x:v>-14238.150000000001</x:v>
      </x:c>
      <x:c r="D22" s="58" t="n">
        <x:f>D16-D21</x:f>
        <x:v>14710.700000000012</x:v>
      </x:c>
      <x:c r="E22" s="58" t="n">
        <x:f>E16-E21</x:f>
        <x:v>134606</x:v>
      </x:c>
      <x:c r="F22" s="58" t="n">
        <x:f>F16-F21</x:f>
        <x:v>329270</x:v>
      </x:c>
      <x:c r="G22" s="30"/>
    </x:row>
    <x:row r="23" ht="15" hidden="0" customHeight="1">
      <x:c r="A23" s="28" t="str">
        <x:v>Contribution margin</x:v>
      </x:c>
      <x:c r="B23" s="63" t="n">
        <x:f>IFERROR(B22/B16,0)</x:f>
        <x:v>-0.60838802004641</x:v>
      </x:c>
      <x:c r="C23" s="63" t="n">
        <x:f>IFERROR(C22/C16,0)</x:f>
        <x:v>-0.3202689799209796</x:v>
      </x:c>
      <x:c r="D23" s="63" t="n">
        <x:f>IFERROR(D22/D16,0)</x:f>
        <x:v>0.0939196466593076</x:v>
      </x:c>
      <x:c r="E23" s="63" t="n">
        <x:f>IFERROR(E22/E16,0)</x:f>
        <x:v>0.3212507696787158</x:v>
      </x:c>
      <x:c r="F23" s="63" t="n">
        <x:f>IFERROR(F22/F16,0)</x:f>
        <x:v>0.38862464149562714</x:v>
      </x:c>
      <x:c r="G23" s="30"/>
    </x:row>
    <x:row r="24" ht="15" hidden="0" customHeight="1">
      <x:c r="A24" s="28" t="str">
        <x:v>Revenue / ending door</x:v>
      </x:c>
      <x:c r="B24" s="58" t="n">
        <x:f>IFERROR(B16/B4,0)</x:f>
        <x:v>4384.825</x:v>
      </x:c>
      <x:c r="C24" s="58" t="n">
        <x:f>IFERROR(C16/C4,0)</x:f>
        <x:v>3704.7374999999997</x:v>
      </x:c>
      <x:c r="D24" s="58" t="n">
        <x:f>IFERROR(D16/D4,0)</x:f>
        <x:v>3915.7675000000004</x:v>
      </x:c>
      <x:c r="E24" s="58" t="n">
        <x:f>IFERROR(E16/E4,0)</x:f>
        <x:v>4190.06</x:v>
      </x:c>
      <x:c r="F24" s="58" t="n">
        <x:f>IFERROR(F16/F4,0)</x:f>
        <x:v>4236.35</x:v>
      </x:c>
      <x:c r="G24" s="30"/>
    </x:row>
    <x:row r="25" ht="15" hidden="0" customHeight="1">
      <x:c r="A25" s="28" t="str">
        <x:v>Revenue / active door</x:v>
      </x:c>
      <x:c r="B25" s="58" t="n">
        <x:f>IFERROR(B16/B5,0)</x:f>
        <x:v>5846.433333333333</x:v>
      </x:c>
      <x:c r="C25" s="58" t="n">
        <x:f>IFERROR(C16/C5,0)</x:f>
        <x:v>5230.217647058824</x:v>
      </x:c>
      <x:c r="D25" s="58" t="n">
        <x:f>IFERROR(D16/D5,0)</x:f>
        <x:v>6024.257692307693</x:v>
      </x:c>
      <x:c r="E25" s="58" t="n">
        <x:f>IFERROR(E16/E5,0)</x:f>
        <x:v>5985.8</x:v>
      </x:c>
      <x:c r="F25" s="58" t="n">
        <x:f>IFERROR(F16/F5,0)</x:f>
        <x:v>5648.466666666666</x:v>
      </x:c>
      <x:c r="G25" s="30"/>
    </x:row>
    <x:row r="26" ht="15" hidden="0" customHeight="1">
      <x:c r="A26" s="28" t="str">
        <x:v>SOM share of King SAM revenue</x:v>
      </x:c>
      <x:c r="B26" s="63" t="n">
        <x:f>B16/'TAM SAM SOM'!C7</x:f>
        <x:v>0.0001015005787037037</x:v>
      </x:c>
      <x:c r="C26" s="63" t="n">
        <x:f>C16/'TAM SAM SOM'!C7</x:f>
        <x:v>0.00020581874999999999</x:v>
      </x:c>
      <x:c r="D26" s="63" t="n">
        <x:f>D16/'TAM SAM SOM'!C7</x:f>
        <x:v>0.0007251421296296296</x:v>
      </x:c>
      <x:c r="E26" s="63" t="n">
        <x:f>E16/'TAM SAM SOM'!C7</x:f>
        <x:v>0.0019398425925925926</x:v>
      </x:c>
      <x:c r="F26" s="63" t="n">
        <x:f>F16/'TAM SAM SOM'!C7</x:f>
        <x:v>0.003922546296296296</x:v>
      </x:c>
      <x:c r="G26" s="30"/>
    </x:row>
    <x:row r="27" ht="15" hidden="0" customHeight="1">
      <x:c r="A27" s="28" t="str">
        <x:v>SOM share of Snohomish launch revenue</x:v>
      </x:c>
      <x:c r="B27" s="63" t="n">
        <x:f>B16/'TAM SAM SOM'!C8</x:f>
        <x:v>0.000644827205882353</x:v>
      </x:c>
      <x:c r="C27" s="63" t="n">
        <x:f>C16/'TAM SAM SOM'!C8</x:f>
        <x:v>0.001307554411764706</x:v>
      </x:c>
      <x:c r="D27" s="63" t="n">
        <x:f>D16/'TAM SAM SOM'!C8</x:f>
        <x:v>0.004606785294117647</x:v>
      </x:c>
      <x:c r="E27" s="63" t="n">
        <x:f>E16/'TAM SAM SOM'!C8</x:f>
        <x:v>0.012323705882352941</x:v>
      </x:c>
      <x:c r="F27" s="63" t="n">
        <x:f>F16/'TAM SAM SOM'!C8</x:f>
        <x:v>0.02491970588235294</x:v>
      </x:c>
      <x:c r="G27" s="30"/>
    </x:row>
    <x:row r="28" ht="15" hidden="0" customHeight="1">
      <x:c r="A28" s="28" t="str">
        <x:v>Status</x:v>
      </x:c>
      <x:c r="B28" s="29" t="str">
        <x:f>IF(B22&gt;=0,"Positive","Launch investment")</x:f>
        <x:v>Launch investment</x:v>
      </x:c>
      <x:c r="C28" s="29" t="str">
        <x:f>IF(C22&gt;=0,"Positive","Launch investment")</x:f>
        <x:v>Launch investment</x:v>
      </x:c>
      <x:c r="D28" s="29" t="str">
        <x:f>IF(D22&gt;=0,"Positive","Launch investment")</x:f>
        <x:v>Positive</x:v>
      </x:c>
      <x:c r="E28" s="29" t="str">
        <x:f>IF(E22&gt;=0,"Positive","Launch investment")</x:f>
        <x:v>Positive</x:v>
      </x:c>
      <x:c r="F28" s="29" t="str">
        <x:f>IF(F22&gt;=0,"Positive","Launch investment")</x:f>
        <x:v>Positive</x:v>
      </x:c>
      <x:c r="G28" s="30"/>
    </x:row>
    <x:row r="29" ht="15" hidden="0" customHeight="1">
      <x:c r="A29" s="28" t="str">
        <x:v>Source posture</x:v>
      </x:c>
      <x:c r="B29" s="29" t="str">
        <x:v>Local-only</x:v>
      </x:c>
      <x:c r="C29" s="29" t="str">
        <x:v>Local-only</x:v>
      </x:c>
      <x:c r="D29" s="29" t="str">
        <x:v>Local-only</x:v>
      </x:c>
      <x:c r="E29" s="29" t="str">
        <x:v>Local-only</x:v>
      </x:c>
      <x:c r="F29" s="29" t="str">
        <x:v>Local-only</x:v>
      </x:c>
      <x:c r="G29" s="30"/>
    </x:row>
    <x:row r="30" ht="15" hidden="0" customHeight="1">
      <x:c r="A30" s="28" t="str">
        <x:v>Moat evidence</x:v>
      </x:c>
      <x:c r="B30" s="29" t="str">
        <x:v>SLA + transparent fees</x:v>
      </x:c>
      <x:c r="C30" s="29" t="str">
        <x:v>Warm referrals + renewal proof</x:v>
      </x:c>
      <x:c r="D30" s="29" t="str">
        <x:v>Compliance + bilingual workflows</x:v>
      </x:c>
      <x:c r="E30" s="29" t="str">
        <x:v>Eastside/Snohomish dual-county wedge</x:v>
      </x:c>
      <x:c r="F30" s="29" t="str">
        <x:v>Optional FCC conversion moat</x:v>
      </x:c>
      <x:c r="G30" s="30"/>
    </x:row>
    <x:row r="31" ht="15" hidden="0" customHeight="1">
      <x:c r="A31" s="28" t="str">
        <x:v>Market entry read</x:v>
      </x:c>
      <x:c r="B31" s="29" t="str">
        <x:v>Proof cohort</x:v>
      </x:c>
      <x:c r="C31" s="29" t="str">
        <x:v>Operating template</x:v>
      </x:c>
      <x:c r="D31" s="29" t="str">
        <x:v>Repeatable acquisition</x:v>
      </x:c>
      <x:c r="E31" s="29" t="str">
        <x:v>SOM capture</x:v>
      </x:c>
      <x:c r="F31" s="29" t="str">
        <x:v>Boutique platform</x:v>
      </x:c>
      <x:c r="G31" s="30"/>
    </x:row>
    <x:row r="32" ht="15" hidden="0" customHeight="1">
      <x:c r="A32" s="28" t="str">
        <x:v>Deck takeaway</x:v>
      </x:c>
      <x:c r="B32" s="29" t="str">
        <x:v>5 doors are enough to prove service, not enough to prove a standalone company.</x:v>
      </x:c>
      <x:c r="C32" s="29" t="str">
        <x:v>12 doors validates referrals and owner retention.</x:v>
      </x:c>
      <x:c r="D32" s="29" t="str">
        <x:v>40 doors starts to fund operations.</x:v>
      </x:c>
      <x:c r="E32" s="29" t="str">
        <x:v>100 doors makes PM financially relevant.</x:v>
      </x:c>
      <x:c r="F32" s="29" t="str">
        <x:v>200 doors remains tiny relative to SAM but becomes a fundable base.</x:v>
      </x:c>
      <x:c r="G32" s="30"/>
    </x:row>
    <x:row r="33" ht="15" hidden="0" customHeight="1">
      <x:c r="A33" s="31" t="str">
        <x:v>Model caveat</x:v>
      </x:c>
      <x:c r="B33" s="32" t="str">
        <x:v>Excludes founder opportunity cost and acquisition capital; no maintenance markup revenue modeled.</x:v>
      </x:c>
      <x:c r="C33" s="32" t="str">
        <x:v>Excludes founder opportunity cost and acquisition capital; no maintenance markup revenue modeled.</x:v>
      </x:c>
      <x:c r="D33" s="32" t="str">
        <x:v>Excludes founder opportunity cost and acquisition capital; no maintenance markup revenue modeled.</x:v>
      </x:c>
      <x:c r="E33" s="32" t="str">
        <x:v>Excludes founder opportunity cost and acquisition capital; no maintenance markup revenue modeled.</x:v>
      </x:c>
      <x:c r="F33" s="32" t="str">
        <x:v>Excludes founder opportunity cost and acquisition capital; no maintenance markup revenue modeled.</x:v>
      </x:c>
      <x:c r="G33" s="33"/>
    </x:row>
  </x:sheetData>
  <x:pageMargins left="0.7" right="0.7" top="0.75" bottom="0.75" header="0.3" footer="0.3"/>
  <x:drawing xmlns:r="http://schemas.openxmlformats.org/officeDocument/2006/relationships" r:id="R9ef80b4d06a1460b"/>
</x:worksheet>
</file>

<file path=xl/worksheets/sheet5.xml><?xml version="1.0" encoding="utf-8"?>
<x:worksheet xmlns:x="http://schemas.openxmlformats.org/spreadsheetml/2006/main">
  <x:sheetFormatPr defaultRowHeight="15"/>
  <x:cols>
    <x:col min="1" max="1" width="25.280000686645508" hidden="0" customWidth="1"/>
    <x:col min="2" max="2" width="7.610000133514404" hidden="0" customWidth="1"/>
    <x:col min="3" max="3" width="9.449999809265137" hidden="0" customWidth="1"/>
    <x:col min="4" max="4" width="7.610000133514404" hidden="0" customWidth="1"/>
    <x:col min="5" max="5" width="9.449999809265137" hidden="0" customWidth="1"/>
    <x:col min="6" max="6" width="11.899999618530273" hidden="0" customWidth="1"/>
    <x:col min="7" max="7" width="47.47999954223633" hidden="0" customWidth="1"/>
    <x:col min="8" max="8" width="8.220000267028809" hidden="0" customWidth="1"/>
  </x:cols>
  <x:sheetData>
    <x:row r="1" ht="18" hidden="0" customHeight="1">
      <x:c r="A1" s="5" t="str">
        <x:v>Scenario Comparison</x:v>
      </x:c>
      <x:c r="B1" s="5" t="str"/>
      <x:c r="C1" s="5" t="str"/>
      <x:c r="D1" s="5" t="str"/>
      <x:c r="E1" s="5" t="str"/>
      <x:c r="F1" s="5" t="str"/>
      <x:c r="G1" s="5" t="str"/>
      <x:c r="H1" s="5" t="str"/>
    </x:row>
    <x:row r="2"/>
    <x:row r="3" ht="15" hidden="0" customHeight="1">
      <x:c r="A3" s="45" t="str">
        <x:v>Scenario</x:v>
      </x:c>
      <x:c r="B3" s="46" t="str">
        <x:v>Y3 doors</x:v>
      </x:c>
      <x:c r="C3" s="46" t="str">
        <x:v>Y3 revenue</x:v>
      </x:c>
      <x:c r="D3" s="46" t="str">
        <x:v>Y5 doors</x:v>
      </x:c>
      <x:c r="E3" s="46" t="str">
        <x:v>Y5 revenue</x:v>
      </x:c>
      <x:c r="F3" s="46" t="str">
        <x:v>Y5 SAM share</x:v>
      </x:c>
      <x:c r="G3" s="46" t="str">
        <x:v>Strategic meaning</x:v>
      </x:c>
      <x:c r="H3" s="47" t="str">
        <x:v>Source</x:v>
      </x:c>
    </x:row>
    <x:row r="4" ht="15" hidden="0" customHeight="1">
      <x:c r="A4" s="25" t="str">
        <x:v>Base launch quality</x:v>
      </x:c>
      <x:c r="B4" s="60" t="n">
        <x:v>40</x:v>
      </x:c>
      <x:c r="C4" s="57" t="n">
        <x:f>'Operating Model'!D16</x:f>
        <x:v>156630.7</x:v>
      </x:c>
      <x:c r="D4" s="60" t="n">
        <x:v>200</x:v>
      </x:c>
      <x:c r="E4" s="57" t="n">
        <x:f>'Operating Model'!F16</x:f>
        <x:v>847270</x:v>
      </x:c>
      <x:c r="F4" s="64" t="n">
        <x:f>E4/'TAM SAM SOM'!C7</x:f>
        <x:v>0.003922546296296296</x:v>
      </x:c>
      <x:c r="G4" s="26" t="str">
        <x:v>Quality-first path from 5-door launch to a credible boutique seed.</x:v>
      </x:c>
      <x:c r="H4" s="27" t="str">
        <x:v>Model</x:v>
      </x:c>
    </x:row>
    <x:row r="5" ht="15" hidden="0" customHeight="1">
      <x:c r="A5" s="28" t="str">
        <x:v>Bootstrapped SOM</x:v>
      </x:c>
      <x:c r="B5" s="61" t="n">
        <x:v>200</x:v>
      </x:c>
      <x:c r="C5" s="58" t="n">
        <x:v>770000</x:v>
      </x:c>
      <x:c r="D5" s="61" t="n">
        <x:v>400</x:v>
      </x:c>
      <x:c r="E5" s="58" t="n">
        <x:v>1500000</x:v>
      </x:c>
      <x:c r="F5" s="63" t="n">
        <x:f>E5/'TAM SAM SOM'!C7</x:f>
        <x:v>0.006944444444444444</x:v>
      </x:c>
      <x:c r="G5" s="29" t="str">
        <x:v>Local report low case; referral and reputation led.</x:v>
      </x:c>
      <x:c r="H5" s="30" t="str">
        <x:v>M-07/M-08</x:v>
      </x:c>
    </x:row>
    <x:row r="6" ht="15" hidden="0" customHeight="1">
      <x:c r="A6" s="28" t="str">
        <x:v>Funded boutique low</x:v>
      </x:c>
      <x:c r="B6" s="61" t="n">
        <x:v>700</x:v>
      </x:c>
      <x:c r="C6" s="58" t="n">
        <x:v>2700000</x:v>
      </x:c>
      <x:c r="D6" s="61" t="n">
        <x:v>1800</x:v>
      </x:c>
      <x:c r="E6" s="58" t="n">
        <x:v>7000000</x:v>
      </x:c>
      <x:c r="F6" s="63" t="n">
        <x:f>E6/'TAM SAM SOM'!C7</x:f>
        <x:v>0.032407407407407406</x:v>
      </x:c>
      <x:c r="G6" s="29" t="str">
        <x:v>Requires team, systems, and repeatable owner acquisition.</x:v>
      </x:c>
      <x:c r="H6" s="30" t="str">
        <x:v>M-09</x:v>
      </x:c>
    </x:row>
    <x:row r="7" ht="15" hidden="0" customHeight="1">
      <x:c r="A7" s="28" t="str">
        <x:v>Funded boutique high</x:v>
      </x:c>
      <x:c r="B7" s="61" t="n">
        <x:v>1000</x:v>
      </x:c>
      <x:c r="C7" s="58" t="n">
        <x:v>3850000</x:v>
      </x:c>
      <x:c r="D7" s="61" t="n">
        <x:v>2500</x:v>
      </x:c>
      <x:c r="E7" s="58" t="n">
        <x:v>9600000</x:v>
      </x:c>
      <x:c r="F7" s="63" t="n">
        <x:f>E7/'TAM SAM SOM'!C7</x:f>
        <x:v>0.044444444444444446</x:v>
      </x:c>
      <x:c r="G7" s="29" t="str">
        <x:v>Clear platform opportunity; still under 5% of King SAM.</x:v>
      </x:c>
      <x:c r="H7" s="30" t="str">
        <x:v>M-10</x:v>
      </x:c>
    </x:row>
    <x:row r="8" ht="15" hidden="0" customHeight="1">
      <x:c r="A8" s="31" t="str">
        <x:v>Funded + M&amp;A</x:v>
      </x:c>
      <x:c r="B8" s="62" t="n">
        <x:v>1400</x:v>
      </x:c>
      <x:c r="C8" s="59" t="n">
        <x:v>5400000</x:v>
      </x:c>
      <x:c r="D8" s="62" t="n">
        <x:v>3500</x:v>
      </x:c>
      <x:c r="E8" s="59" t="n">
        <x:v>13500000</x:v>
      </x:c>
      <x:c r="F8" s="65" t="n">
        <x:f>E8/'TAM SAM SOM'!C7</x:f>
        <x:v>0.0625</x:v>
      </x:c>
      <x:c r="G8" s="32" t="str">
        <x:v>Integration/M&amp;A path; moat depends on process discipline.</x:v>
      </x:c>
      <x:c r="H8" s="33" t="str">
        <x:v>M-11</x:v>
      </x:c>
    </x:row>
  </x:sheetData>
  <x:pageMargins left="0.7" right="0.7" top="0.75" bottom="0.75" header="0.3" footer="0.3"/>
  <x:drawing xmlns:r="http://schemas.openxmlformats.org/officeDocument/2006/relationships" r:id="Rb8e97d86c75a4512"/>
</x:worksheet>
</file>

<file path=xl/worksheets/sheet6.xml><?xml version="1.0" encoding="utf-8"?>
<x:worksheet xmlns:x="http://schemas.openxmlformats.org/spreadsheetml/2006/main">
  <x:sheetFormatPr defaultRowHeight="15"/>
  <x:cols>
    <x:col min="1" max="1" width="36.560001373291016" hidden="0" customWidth="1"/>
    <x:col min="2" max="2" width="28.219999313354492" hidden="0" customWidth="1"/>
    <x:col min="3" max="3" width="27.610000610351562" hidden="0" customWidth="1"/>
    <x:col min="4" max="4" width="82.81999969482422" hidden="0" customWidth="1"/>
    <x:col min="5" max="5" width="19.510000228881836" hidden="0" customWidth="1"/>
    <x:col min="6" max="6" width="19.75" hidden="0" customWidth="1"/>
    <x:col min="7" max="7" width="9.819999694824219" hidden="0" customWidth="1"/>
    <x:col min="8" max="8" width="39.2599983215332" hidden="0" customWidth="1"/>
  </x:cols>
  <x:sheetData>
    <x:row r="1" ht="18" hidden="0" customHeight="1">
      <x:c r="A1" s="5" t="str">
        <x:v>Source Data and Evidence Map</x:v>
      </x:c>
      <x:c r="B1" s="5" t="str"/>
      <x:c r="C1" s="5" t="str"/>
      <x:c r="D1" s="5" t="str"/>
      <x:c r="E1" s="5" t="str"/>
      <x:c r="F1" s="5" t="str"/>
      <x:c r="G1" s="5" t="str"/>
      <x:c r="H1" s="5" t="str"/>
    </x:row>
    <x:row r="2"/>
    <x:row r="3" ht="15" hidden="0" customHeight="1">
      <x:c r="A3" s="45" t="str">
        <x:v>Source ID</x:v>
      </x:c>
      <x:c r="B3" s="46" t="str">
        <x:v>Value</x:v>
      </x:c>
      <x:c r="C3" s="46" t="str">
        <x:v>Units</x:v>
      </x:c>
      <x:c r="D3" s="46" t="str">
        <x:v>Local file</x:v>
      </x:c>
      <x:c r="E3" s="46" t="str">
        <x:v>Section / field</x:v>
      </x:c>
      <x:c r="F3" s="46" t="str">
        <x:v>Use in model</x:v>
      </x:c>
      <x:c r="G3" s="46" t="str">
        <x:v>Confidence</x:v>
      </x:c>
      <x:c r="H3" s="47" t="str">
        <x:v>Notes</x:v>
      </x:c>
    </x:row>
    <x:row r="4" ht="15" hidden="0" customHeight="1">
      <x:c r="A4" s="25" t="str">
        <x:v>U-01</x:v>
      </x:c>
      <x:c r="B4" s="26" t="str">
        <x:v>5</x:v>
      </x:c>
      <x:c r="C4" s="26" t="str">
        <x:v>doors</x:v>
      </x:c>
      <x:c r="D4" s="26" t="str">
        <x:v>User prompt</x:v>
      </x:c>
      <x:c r="E4" s="26" t="str">
        <x:v>Year one assumption</x:v>
      </x:c>
      <x:c r="F4" s="26" t="str">
        <x:v>Y1 signed properties</x:v>
      </x:c>
      <x:c r="G4" s="26" t="str">
        <x:v>High</x:v>
      </x:c>
      <x:c r="H4" s="27" t="str">
        <x:v>User supplied.</x:v>
      </x:c>
    </x:row>
    <x:row r="5" ht="15" hidden="0" customHeight="1">
      <x:c r="A5" s="28" t="str">
        <x:v>U-02</x:v>
      </x:c>
      <x:c r="B5" s="29" t="str">
        <x:v>75%</x:v>
      </x:c>
      <x:c r="C5" s="29" t="str">
        <x:v>% year</x:v>
      </x:c>
      <x:c r="D5" s="29" t="str">
        <x:v>User prompt</x:v>
      </x:c>
      <x:c r="E5" s="29" t="str">
        <x:v>Year one assumption</x:v>
      </x:c>
      <x:c r="F5" s="29" t="str">
        <x:v>Y1 active-year factor</x:v>
      </x:c>
      <x:c r="G5" s="29" t="str">
        <x:v>High</x:v>
      </x:c>
      <x:c r="H5" s="30" t="str">
        <x:v>Interpreted as 75% of a full operating year.</x:v>
      </x:c>
    </x:row>
    <x:row r="6" ht="15" hidden="0" customHeight="1">
      <x:c r="A6" s="28" t="str">
        <x:v>L-01</x:v>
      </x:c>
      <x:c r="B6" s="29" t="str">
        <x:v>2-5 Y1; 6-12 Y2</x:v>
      </x:c>
      <x:c r="C6" s="29" t="str">
        <x:v>doors</x:v>
      </x:c>
      <x:c r="D6" s="29" t="str">
        <x:v>docs/gtm/Launch Prioritization.md</x:v>
      </x:c>
      <x:c r="E6" s="29" t="str">
        <x:v>Priority table</x:v>
      </x:c>
      <x:c r="F6" s="29" t="str">
        <x:v>Door ramp guardrail</x:v>
      </x:c>
      <x:c r="G6" s="29" t="str">
        <x:v>High</x:v>
      </x:c>
      <x:c r="H6" s="30" t="str">
        <x:v>Base model uses 5 and 12 as launch path.</x:v>
      </x:c>
    </x:row>
    <x:row r="7" ht="15" hidden="0" customHeight="1">
      <x:c r="A7" s="28" t="str">
        <x:v>L-02</x:v>
      </x:c>
      <x:c r="B7" s="29" t="str">
        <x:v>Warm introductions</x:v>
      </x:c>
      <x:c r="C7" s="29" t="str">
        <x:v>channel</x:v>
      </x:c>
      <x:c r="D7" s="29" t="str">
        <x:v>docs/gtm/Launch Prioritization.md</x:v>
      </x:c>
      <x:c r="E7" s="29" t="str">
        <x:v>Launch leverage points</x:v>
      </x:c>
      <x:c r="F7" s="29" t="str">
        <x:v>Y1 owner CAC = $0</x:v>
      </x:c>
      <x:c r="G7" s="29" t="str">
        <x:v>Medium</x:v>
      </x:c>
      <x:c r="H7" s="30" t="str">
        <x:v>Means no paid acquisition, not no founder time.</x:v>
      </x:c>
    </x:row>
    <x:row r="8" ht="15" hidden="0" customHeight="1">
      <x:c r="A8" s="28" t="str">
        <x:v>D-01</x:v>
      </x:c>
      <x:c r="B8" s="29" t="str">
        <x:v>74,002; $2.233B rent roll</x:v>
      </x:c>
      <x:c r="C8" s="29" t="str">
        <x:v>Snohomish small-owner units/rent roll</x:v>
      </x:c>
      <x:c r="D8" s="29" t="str">
        <x:v>docs/research/reports/effort-2/small-portfolio-stock-modeled.csv</x:v>
      </x:c>
      <x:c r="E8" s="29" t="str">
        <x:v>county aggregate</x:v>
      </x:c>
      <x:c r="F8" s="29" t="str">
        <x:v>Snohomish rent and TAM</x:v>
      </x:c>
      <x:c r="G8" s="29" t="str">
        <x:v>High</x:v>
      </x:c>
      <x:c r="H8" s="30" t="str">
        <x:v>Computed locally from CSV.</x:v>
      </x:c>
    </x:row>
    <x:row r="9" ht="15" hidden="0" customHeight="1">
      <x:c r="A9" s="28" t="str">
        <x:v>D-02</x:v>
      </x:c>
      <x:c r="B9" s="29" t="str">
        <x:v>228,000; $8.077B rent roll</x:v>
      </x:c>
      <x:c r="C9" s="29" t="str">
        <x:v>King small-owner units/rent roll</x:v>
      </x:c>
      <x:c r="D9" s="29" t="str">
        <x:v>docs/research/reports/effort-2/small-portfolio-stock-modeled.csv</x:v>
      </x:c>
      <x:c r="E9" s="29" t="str">
        <x:v>county aggregate</x:v>
      </x:c>
      <x:c r="F9" s="29" t="str">
        <x:v>King rent and TAM</x:v>
      </x:c>
      <x:c r="G9" s="29" t="str">
        <x:v>High</x:v>
      </x:c>
      <x:c r="H9" s="30" t="str">
        <x:v>Computed locally from CSV.</x:v>
      </x:c>
    </x:row>
    <x:row r="10" ht="15" hidden="0" customHeight="1">
      <x:c r="A10" s="28" t="str">
        <x:v>D-03</x:v>
      </x:c>
      <x:c r="B10" s="29" t="str">
        <x:v>302,002 doors; $10.31B rent roll</x:v>
      </x:c>
      <x:c r="C10" s="29" t="str">
        <x:v>two-county small-owner stock</x:v>
      </x:c>
      <x:c r="D10" s="29" t="str">
        <x:v>docs/research/reports/effort-2/small-portfolio-stock-modeled.csv</x:v>
      </x:c>
      <x:c r="E10" s="29" t="str">
        <x:v>county aggregate</x:v>
      </x:c>
      <x:c r="F10" s="29" t="str">
        <x:v>TAM stock</x:v>
      </x:c>
      <x:c r="G10" s="29" t="str">
        <x:v>High</x:v>
      </x:c>
      <x:c r="H10" s="30" t="str">
        <x:v>CSV-derived.</x:v>
      </x:c>
    </x:row>
    <x:row r="11" ht="15" hidden="0" customHeight="1">
      <x:c r="A11" s="28" t="str">
        <x:v>D-04</x:v>
      </x:c>
      <x:c r="B11" s="29" t="str">
        <x:v>$1.031B</x:v>
      </x:c>
      <x:c r="C11" s="29" t="str">
        <x:v>annual revenue</x:v>
      </x:c>
      <x:c r="D11" s="29" t="str">
        <x:v>docs/research/reports/effort-2/small-portfolio-stock-modeled.csv</x:v>
      </x:c>
      <x:c r="E11" s="29" t="str">
        <x:v>10% PM fee equivalent</x:v>
      </x:c>
      <x:c r="F11" s="29" t="str">
        <x:v>Full-stock TAM</x:v>
      </x:c>
      <x:c r="G11" s="29" t="str">
        <x:v>Medium</x:v>
      </x:c>
      <x:c r="H11" s="30" t="str">
        <x:v>Computed from CSV rent roll.</x:v>
      </x:c>
    </x:row>
    <x:row r="12" ht="15" hidden="0" customHeight="1">
      <x:c r="A12" s="28" t="str">
        <x:v>M-04</x:v>
      </x:c>
      <x:c r="B12" s="29" t="str">
        <x:v>$219M</x:v>
      </x:c>
      <x:c r="C12" s="29" t="str">
        <x:v>annual revenue</x:v>
      </x:c>
      <x:c r="D12" s="29" t="str">
        <x:v>docs/research/competitors/Non-Institutional Small Landlord PM Market, King and Snohomish Counties.md</x:v>
      </x:c>
      <x:c r="E12" s="29" t="str">
        <x:v>Reconciled Market Sizing</x:v>
      </x:c>
      <x:c r="F12" s="29" t="str">
        <x:v>Current served market</x:v>
      </x:c>
      <x:c r="G12" s="29" t="str">
        <x:v>High</x:v>
      </x:c>
      <x:c r="H12" s="30" t="str">
        <x:v>King $185M + Snohomish $34M.</x:v>
      </x:c>
    </x:row>
    <x:row r="13" ht="15" hidden="0" customHeight="1">
      <x:c r="A13" s="28" t="str">
        <x:v>M-05</x:v>
      </x:c>
      <x:c r="B13" s="29" t="str">
        <x:v>56,000; $216M</x:v>
      </x:c>
      <x:c r="C13" s="29" t="str">
        <x:v>doors; annual revenue</x:v>
      </x:c>
      <x:c r="D13" s="29" t="str">
        <x:v>docs/research/competitors/Non-Institutional Small Landlord PM Market, King and Snohomish Counties.md</x:v>
      </x:c>
      <x:c r="E13" s="29" t="str">
        <x:v>TAM/SAM/SOM</x:v>
      </x:c>
      <x:c r="F13" s="29" t="str">
        <x:v>King entry SAM</x:v>
      </x:c>
      <x:c r="G13" s="29" t="str">
        <x:v>High</x:v>
      </x:c>
      <x:c r="H13" s="30" t="str">
        <x:v>Report-defined SAM.</x:v>
      </x:c>
    </x:row>
    <x:row r="14" ht="15" hidden="0" customHeight="1">
      <x:c r="A14" s="28" t="str">
        <x:v>M-06</x:v>
      </x:c>
      <x:c r="B14" s="29" t="str">
        <x:v>37,000 in-scope; 27% adoption; $34M</x:v>
      </x:c>
      <x:c r="C14" s="29" t="str">
        <x:v>doors; annual revenue</x:v>
      </x:c>
      <x:c r="D14" s="29" t="str">
        <x:v>same</x:v>
      </x:c>
      <x:c r="E14" s="29" t="str">
        <x:v>Snohomish County Market</x:v>
      </x:c>
      <x:c r="F14" s="29" t="str">
        <x:v>Beachhead current served</x:v>
      </x:c>
      <x:c r="G14" s="29" t="str">
        <x:v>High</x:v>
      </x:c>
      <x:c r="H14" s="30" t="str">
        <x:v>Report-defined Snohomish base.</x:v>
      </x:c>
    </x:row>
    <x:row r="15" ht="15" hidden="0" customHeight="1">
      <x:c r="A15" s="28" t="str">
        <x:v>M-07</x:v>
      </x:c>
      <x:c r="B15" s="29" t="str">
        <x:v>200; $770K</x:v>
      </x:c>
      <x:c r="C15" s="29" t="str">
        <x:v>Y3 doors; revenue</x:v>
      </x:c>
      <x:c r="D15" s="29" t="str">
        <x:v>same</x:v>
      </x:c>
      <x:c r="E15" s="29" t="str">
        <x:v>SOM Scenarios</x:v>
      </x:c>
      <x:c r="F15" s="29" t="str">
        <x:v>Bootstrapped Y3 reference</x:v>
      </x:c>
      <x:c r="G15" s="29" t="str">
        <x:v>Medium</x:v>
      </x:c>
      <x:c r="H15" s="30" t="str">
        <x:v>Low case.</x:v>
      </x:c>
    </x:row>
    <x:row r="16" ht="15" hidden="0" customHeight="1">
      <x:c r="A16" s="28" t="str">
        <x:v>M-08</x:v>
      </x:c>
      <x:c r="B16" s="29" t="str">
        <x:v>400; $1.5M</x:v>
      </x:c>
      <x:c r="C16" s="29" t="str">
        <x:v>Y5 doors; revenue</x:v>
      </x:c>
      <x:c r="D16" s="29" t="str">
        <x:v>same</x:v>
      </x:c>
      <x:c r="E16" s="29" t="str">
        <x:v>SOM Scenarios</x:v>
      </x:c>
      <x:c r="F16" s="29" t="str">
        <x:v>Bootstrapped Y5 reference</x:v>
      </x:c>
      <x:c r="G16" s="29" t="str">
        <x:v>Medium</x:v>
      </x:c>
      <x:c r="H16" s="30" t="str">
        <x:v>Low case.</x:v>
      </x:c>
    </x:row>
    <x:row r="17" ht="15" hidden="0" customHeight="1">
      <x:c r="A17" s="28" t="str">
        <x:v>M-09</x:v>
      </x:c>
      <x:c r="B17" s="29" t="str">
        <x:v>700-1,000; $2.7-3.85M</x:v>
      </x:c>
      <x:c r="C17" s="29" t="str">
        <x:v>Y3 doors; revenue</x:v>
      </x:c>
      <x:c r="D17" s="29" t="str">
        <x:v>same</x:v>
      </x:c>
      <x:c r="E17" s="29" t="str">
        <x:v>SOM Scenarios</x:v>
      </x:c>
      <x:c r="F17" s="29" t="str">
        <x:v>Funded boutique Y3</x:v>
      </x:c>
      <x:c r="G17" s="29" t="str">
        <x:v>Medium</x:v>
      </x:c>
      <x:c r="H17" s="30" t="str">
        <x:v>Scenario band.</x:v>
      </x:c>
    </x:row>
    <x:row r="18" ht="15" hidden="0" customHeight="1">
      <x:c r="A18" s="28" t="str">
        <x:v>M-10</x:v>
      </x:c>
      <x:c r="B18" s="29" t="str">
        <x:v>1,800-2,500; $7-9.6M</x:v>
      </x:c>
      <x:c r="C18" s="29" t="str">
        <x:v>Y5 doors; revenue</x:v>
      </x:c>
      <x:c r="D18" s="29" t="str">
        <x:v>same</x:v>
      </x:c>
      <x:c r="E18" s="29" t="str">
        <x:v>SOM Scenarios</x:v>
      </x:c>
      <x:c r="F18" s="29" t="str">
        <x:v>Funded boutique Y5</x:v>
      </x:c>
      <x:c r="G18" s="29" t="str">
        <x:v>Medium</x:v>
      </x:c>
      <x:c r="H18" s="30" t="str">
        <x:v>Scenario band.</x:v>
      </x:c>
    </x:row>
    <x:row r="19" ht="15" hidden="0" customHeight="1">
      <x:c r="A19" s="28" t="str">
        <x:v>M-11</x:v>
      </x:c>
      <x:c r="B19" s="29" t="str">
        <x:v>3,000-3,500; $11.5-13.5M</x:v>
      </x:c>
      <x:c r="C19" s="29" t="str">
        <x:v>Y5 doors; revenue</x:v>
      </x:c>
      <x:c r="D19" s="29" t="str">
        <x:v>same</x:v>
      </x:c>
      <x:c r="E19" s="29" t="str">
        <x:v>SOM Scenarios</x:v>
      </x:c>
      <x:c r="F19" s="29" t="str">
        <x:v>Funded + M&amp;A Y5</x:v>
      </x:c>
      <x:c r="G19" s="29" t="str">
        <x:v>Medium</x:v>
      </x:c>
      <x:c r="H19" s="30" t="str">
        <x:v>Scenario band.</x:v>
      </x:c>
    </x:row>
    <x:row r="20" ht="15" hidden="0" customHeight="1">
      <x:c r="A20" s="28" t="str">
        <x:v>C-01</x:v>
      </x:c>
      <x:c r="B20" s="29" t="str">
        <x:v>50%-100%</x:v>
      </x:c>
      <x:c r="C20" s="29" t="str">
        <x:v>one month rent</x:v>
      </x:c>
      <x:c r="D20" s="29" t="str">
        <x:v>docs/research/competitors/Independent Property Management Companies, King and Snohomish Counties.md</x:v>
      </x:c>
      <x:c r="E20" s="29" t="str">
        <x:v>Pricing benchmarks</x:v>
      </x:c>
      <x:c r="F20" s="29" t="str">
        <x:v>Leasing fee</x:v>
      </x:c>
      <x:c r="G20" s="29" t="str">
        <x:v>High</x:v>
      </x:c>
      <x:c r="H20" s="30" t="str">
        <x:v>Model uses low end to match transparent positioning.</x:v>
      </x:c>
    </x:row>
    <x:row r="21" ht="15" hidden="0" customHeight="1">
      <x:c r="A21" s="28" t="str">
        <x:v>C-02</x:v>
      </x:c>
      <x:c r="B21" s="29" t="str">
        <x:v>$250-$500 or 25%-50%</x:v>
      </x:c>
      <x:c r="C21" s="29" t="str">
        <x:v>renewal fee</x:v>
      </x:c>
      <x:c r="D21" s="29" t="str">
        <x:v>same</x:v>
      </x:c>
      <x:c r="E21" s="29" t="str">
        <x:v>Pricing benchmarks</x:v>
      </x:c>
      <x:c r="F21" s="29" t="str">
        <x:v>Renewal fee</x:v>
      </x:c>
      <x:c r="G21" s="29" t="str">
        <x:v>High</x:v>
      </x:c>
      <x:c r="H21" s="30" t="str">
        <x:v>Model uses low end.</x:v>
      </x:c>
    </x:row>
    <x:row r="22" ht="15" hidden="0" customHeight="1">
      <x:c r="A22" s="28" t="str">
        <x:v>CAC-01</x:v>
      </x:c>
      <x:c r="B22" s="29" t="str">
        <x:v>$1,500-$5,000</x:v>
      </x:c>
      <x:c r="C22" s="29" t="str">
        <x:v>owner CAC</x:v>
      </x:c>
      <x:c r="D22" s="29" t="str">
        <x:v>docs/research/unit-economics/Customer Acquisition Costs (CAC) Model.md</x:v>
      </x:c>
      <x:c r="E22" s="29" t="str">
        <x:v>Renter CAC section</x:v>
      </x:c>
      <x:c r="F22" s="29" t="str">
        <x:v>Owner acquisition cost</x:v>
      </x:c>
      <x:c r="G22" s="29" t="str">
        <x:v>Medium</x:v>
      </x:c>
      <x:c r="H22" s="30" t="str">
        <x:v>Model uses $1,500 after warm phase.</x:v>
      </x:c>
    </x:row>
    <x:row r="23" ht="15" hidden="0" customHeight="1">
      <x:c r="A23" s="28" t="str">
        <x:v>CAC-02</x:v>
      </x:c>
      <x:c r="B23" s="29" t="str">
        <x:v>$200-$800</x:v>
      </x:c>
      <x:c r="C23" s="29" t="str">
        <x:v>renter CAC</x:v>
      </x:c>
      <x:c r="D23" s="29" t="str">
        <x:v>same</x:v>
      </x:c>
      <x:c r="E23" s="29" t="str">
        <x:v>Renter CAC section</x:v>
      </x:c>
      <x:c r="F23" s="29" t="str">
        <x:v>Lease acquisition cost</x:v>
      </x:c>
      <x:c r="G23" s="29" t="str">
        <x:v>Medium</x:v>
      </x:c>
      <x:c r="H23" s="30" t="str">
        <x:v>Model uses midpoint-low $400.</x:v>
      </x:c>
    </x:row>
    <x:row r="24" ht="15" hidden="0" customHeight="1">
      <x:c r="A24" s="31" t="str">
        <x:v>T-01</x:v>
      </x:c>
      <x:c r="B24" s="32" t="str">
        <x:v>30%</x:v>
      </x:c>
      <x:c r="C24" s="32" t="str">
        <x:v>SFR turnover</x:v>
      </x:c>
      <x:c r="D24" s="32" t="str">
        <x:v>docs/research/unit-economics/Total Addressable Market (TAM) — Residential Property Management Services.md</x:v>
      </x:c>
      <x:c r="E24" s="32" t="str">
        <x:v>Annual Unit Turnover</x:v>
      </x:c>
      <x:c r="F24" s="32" t="str">
        <x:v>Leasing volume</x:v>
      </x:c>
      <x:c r="G24" s="32" t="str">
        <x:v>Medium</x:v>
      </x:c>
      <x:c r="H24" s="33" t="str">
        <x:v>SFR-specific turnover benchmark in local TAM report.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.43000030517578" hidden="0" customWidth="1"/>
    <x:col min="2" max="2" width="12.270000457763672" hidden="0" customWidth="1"/>
    <x:col min="3" max="3" width="12.270000457763672" hidden="0" customWidth="1"/>
    <x:col min="4" max="4" width="8.710000038146973" hidden="0" customWidth="1"/>
    <x:col min="5" max="5" width="8.34000015258789" hidden="0" customWidth="1"/>
    <x:col min="6" max="6" width="5.400000095367432" hidden="0" customWidth="1"/>
    <x:col min="7" max="7" width="29.200000762939453" hidden="0" customWidth="1"/>
  </x:cols>
  <x:sheetData>
    <x:row r="1" ht="18" hidden="0" customHeight="1">
      <x:c r="A1" s="5" t="str">
        <x:v>Checks</x:v>
      </x:c>
      <x:c r="B1" s="5" t="str"/>
      <x:c r="C1" s="5" t="str"/>
      <x:c r="D1" s="5" t="str"/>
      <x:c r="E1" s="5" t="str"/>
      <x:c r="F1" s="5" t="str"/>
      <x:c r="G1" s="5" t="str"/>
    </x:row>
    <x:row r="2"/>
    <x:row r="3" ht="15" hidden="0" customHeight="1">
      <x:c r="A3" s="45" t="str">
        <x:v>Check</x:v>
      </x:c>
      <x:c r="B3" s="46" t="str">
        <x:v>Actual</x:v>
      </x:c>
      <x:c r="C3" s="46" t="str">
        <x:v>Expected</x:v>
      </x:c>
      <x:c r="D3" s="46" t="str">
        <x:v>Difference</x:v>
      </x:c>
      <x:c r="E3" s="46" t="str">
        <x:v>Tolerance</x:v>
      </x:c>
      <x:c r="F3" s="46" t="str">
        <x:v>Status</x:v>
      </x:c>
      <x:c r="G3" s="47" t="str">
        <x:v>Notes</x:v>
      </x:c>
    </x:row>
    <x:row r="4" ht="15" hidden="0" customHeight="1">
      <x:c r="A4" s="25" t="str">
        <x:v>Y1 active doors equals 5 * 75%</x:v>
      </x:c>
      <x:c r="B4" s="60" t="n">
        <x:f>'Operating Model'!B5</x:f>
        <x:v>3.75</x:v>
      </x:c>
      <x:c r="C4" s="60" t="n">
        <x:v>3.75</x:v>
      </x:c>
      <x:c r="D4" s="60" t="n">
        <x:f>B4-C4</x:f>
        <x:v>0</x:v>
      </x:c>
      <x:c r="E4" s="26" t="n">
        <x:v>0.001</x:v>
      </x:c>
      <x:c r="F4" s="26" t="str">
        <x:f>IF(ABS(D4)&lt;=E4,"OK","Check")</x:f>
        <x:v>OK</x:v>
      </x:c>
      <x:c r="G4" s="27" t="str">
        <x:v>User assumption implemented.</x:v>
      </x:c>
    </x:row>
    <x:row r="5" ht="15" hidden="0" customHeight="1">
      <x:c r="A5" s="28" t="str">
        <x:v>Two-county rent roll tie</x:v>
      </x:c>
      <x:c r="B5" s="58" t="n">
        <x:f>'TAM SAM SOM'!C4</x:f>
        <x:v>10310234625</x:v>
      </x:c>
      <x:c r="C5" s="58" t="n">
        <x:v>10310234625</x:v>
      </x:c>
      <x:c r="D5" s="58" t="n">
        <x:f>B5-C5</x:f>
        <x:v>0</x:v>
      </x:c>
      <x:c r="E5" s="29" t="n">
        <x:v>1</x:v>
      </x:c>
      <x:c r="F5" s="29" t="str">
        <x:f>IF(ABS(D5)&lt;=E5,"OK","Check")</x:f>
        <x:v>OK</x:v>
      </x:c>
      <x:c r="G5" s="30" t="str">
        <x:v>Effort 2 CSV aggregate.</x:v>
      </x:c>
    </x:row>
    <x:row r="6" ht="15" hidden="0" customHeight="1">
      <x:c r="A6" s="28" t="str">
        <x:v>Full TAM at 10% ties to rent roll</x:v>
      </x:c>
      <x:c r="B6" s="58" t="n">
        <x:f>'TAM SAM SOM'!C5</x:f>
        <x:v>1031023463</x:v>
      </x:c>
      <x:c r="C6" s="58" t="n">
        <x:f>'TAM SAM SOM'!C4*10%</x:f>
        <x:v>1031023462.5</x:v>
      </x:c>
      <x:c r="D6" s="58" t="n">
        <x:f>B6-C6</x:f>
        <x:v>0.5</x:v>
      </x:c>
      <x:c r="E6" s="29" t="n">
        <x:v>1</x:v>
      </x:c>
      <x:c r="F6" s="29" t="str">
        <x:f>IF(ABS(D6)&lt;=E6,"OK","Check")</x:f>
        <x:v>OK</x:v>
      </x:c>
      <x:c r="G6" s="30" t="str">
        <x:v>No hardcoded TAM formula drift.</x:v>
      </x:c>
    </x:row>
    <x:row r="7" ht="15" hidden="0" customHeight="1">
      <x:c r="A7" s="28" t="str">
        <x:v>Y5 base below bootstrapped SOM ceiling</x:v>
      </x:c>
      <x:c r="B7" s="61" t="n">
        <x:f>'Operating Model'!F4</x:f>
        <x:v>200</x:v>
      </x:c>
      <x:c r="C7" s="61" t="n">
        <x:v>400</x:v>
      </x:c>
      <x:c r="D7" s="61" t="n">
        <x:f>B7-C7</x:f>
        <x:v>-200</x:v>
      </x:c>
      <x:c r="E7" s="29" t="n">
        <x:v>0</x:v>
      </x:c>
      <x:c r="F7" s="29" t="str">
        <x:f>IF(B7&lt;=C7,"OK","Check")</x:f>
        <x:v>OK</x:v>
      </x:c>
      <x:c r="G7" s="30" t="str">
        <x:v>Base case is intentionally conservative.</x:v>
      </x:c>
    </x:row>
    <x:row r="8" ht="15" hidden="0" customHeight="1">
      <x:c r="A8" s="31" t="str">
        <x:v>Formula error scan placeholder</x:v>
      </x:c>
      <x:c r="B8" s="32" t="n">
        <x:v>0</x:v>
      </x:c>
      <x:c r="C8" s="32" t="n">
        <x:v>0</x:v>
      </x:c>
      <x:c r="D8" s="32" t="n">
        <x:v>0</x:v>
      </x:c>
      <x:c r="E8" s="32" t="n">
        <x:v>0</x:v>
      </x:c>
      <x:c r="F8" s="32" t="str">
        <x:v>OK</x:v>
      </x:c>
      <x:c r="G8" s="33" t="str">
        <x:v>Final match scan run outside workbook.</x:v>
      </x:c>
    </x:row>
  </x:sheetData>
  <x:pageMargins left="0.7" right="0.7" top="0.75" bottom="0.75" header="0.3" footer="0.3"/>
</x:worksheet>
</file>